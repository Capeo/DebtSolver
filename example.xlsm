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ddca\Documents\Python projects\DebtSolver\"/>
    </mc:Choice>
  </mc:AlternateContent>
  <xr:revisionPtr revIDLastSave="0" documentId="13_ncr:1_{EFD87E45-A72D-4831-ABA6-010D2D479B1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ammendrag" sheetId="1" r:id="rId1"/>
    <sheet name="Deltagere" sheetId="2" r:id="rId2"/>
    <sheet name="Betalingsstruktur" sheetId="3" r:id="rId3"/>
    <sheet name="Fellesutgifter" sheetId="4" r:id="rId4"/>
    <sheet name="Fordelingsnøkler" sheetId="5" r:id="rId5"/>
    <sheet name="P2P-utgifter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6" l="1"/>
  <c r="D6" i="6"/>
  <c r="Z4" i="6"/>
  <c r="W4" i="6"/>
  <c r="O4" i="6"/>
  <c r="G4" i="6"/>
  <c r="D4" i="6" a="1"/>
  <c r="V4" i="6" s="1"/>
  <c r="B59" i="5"/>
  <c r="B58" i="5"/>
  <c r="B57" i="5"/>
  <c r="B56" i="5"/>
  <c r="B55" i="5"/>
  <c r="B54" i="5"/>
  <c r="B53" i="5"/>
  <c r="B52" i="5"/>
  <c r="B51" i="5"/>
  <c r="B50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E4" i="4"/>
  <c r="B50" i="3"/>
  <c r="A50" i="3"/>
  <c r="B49" i="3"/>
  <c r="A49" i="3"/>
  <c r="B48" i="3"/>
  <c r="A48" i="3"/>
  <c r="B47" i="3"/>
  <c r="A47" i="3"/>
  <c r="B46" i="3"/>
  <c r="A46" i="3"/>
  <c r="B45" i="3"/>
  <c r="A45" i="3"/>
  <c r="B44" i="3"/>
  <c r="A44" i="3"/>
  <c r="B43" i="3"/>
  <c r="A43" i="3"/>
  <c r="B42" i="3"/>
  <c r="A42" i="3"/>
  <c r="B41" i="3"/>
  <c r="A41" i="3"/>
  <c r="B40" i="3"/>
  <c r="A40" i="3"/>
  <c r="B39" i="3"/>
  <c r="A39" i="3"/>
  <c r="B38" i="3"/>
  <c r="A38" i="3"/>
  <c r="B37" i="3"/>
  <c r="A37" i="3"/>
  <c r="B36" i="3"/>
  <c r="A36" i="3"/>
  <c r="B35" i="3"/>
  <c r="A35" i="3"/>
  <c r="B34" i="3"/>
  <c r="A34" i="3"/>
  <c r="B33" i="3"/>
  <c r="A33" i="3"/>
  <c r="B32" i="3"/>
  <c r="A32" i="3"/>
  <c r="B31" i="3"/>
  <c r="A31" i="3"/>
  <c r="B30" i="3"/>
  <c r="A30" i="3"/>
  <c r="B29" i="3"/>
  <c r="A29" i="3"/>
  <c r="B28" i="3"/>
  <c r="A28" i="3"/>
  <c r="B27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U1" i="3"/>
  <c r="M1" i="3"/>
  <c r="E1" i="3"/>
  <c r="B1" i="3" a="1"/>
  <c r="T1" i="3" s="1"/>
  <c r="H50" i="1" a="1"/>
  <c r="H50" i="1" s="1"/>
  <c r="E50" i="1" a="1"/>
  <c r="E50" i="1" s="1"/>
  <c r="B50" i="1"/>
  <c r="G50" i="1" s="1"/>
  <c r="H49" i="1" a="1"/>
  <c r="H49" i="1" s="1"/>
  <c r="E49" i="1" a="1"/>
  <c r="E49" i="1" s="1"/>
  <c r="B49" i="1"/>
  <c r="G49" i="1" s="1"/>
  <c r="I49" i="1" s="1"/>
  <c r="H48" i="1" a="1"/>
  <c r="H48" i="1" s="1"/>
  <c r="G48" i="1"/>
  <c r="I48" i="1" s="1"/>
  <c r="E48" i="1" a="1"/>
  <c r="E48" i="1" s="1"/>
  <c r="B48" i="1"/>
  <c r="H47" i="1" a="1"/>
  <c r="H47" i="1" s="1"/>
  <c r="G47" i="1"/>
  <c r="I47" i="1" s="1"/>
  <c r="E47" i="1" a="1"/>
  <c r="E47" i="1" s="1"/>
  <c r="B47" i="1"/>
  <c r="H46" i="1" a="1"/>
  <c r="H46" i="1" s="1"/>
  <c r="G46" i="1"/>
  <c r="E46" i="1" a="1"/>
  <c r="E46" i="1" s="1"/>
  <c r="B46" i="1"/>
  <c r="H45" i="1" a="1"/>
  <c r="H45" i="1" s="1"/>
  <c r="G45" i="1"/>
  <c r="E45" i="1" a="1"/>
  <c r="E45" i="1" s="1"/>
  <c r="B45" i="1"/>
  <c r="H44" i="1" a="1"/>
  <c r="H44" i="1" s="1"/>
  <c r="G44" i="1"/>
  <c r="E44" i="1" a="1"/>
  <c r="E44" i="1" s="1"/>
  <c r="B44" i="1"/>
  <c r="H43" i="1" a="1"/>
  <c r="H43" i="1" s="1"/>
  <c r="G43" i="1"/>
  <c r="E43" i="1" a="1"/>
  <c r="E43" i="1" s="1"/>
  <c r="B43" i="1"/>
  <c r="H42" i="1" a="1"/>
  <c r="H42" i="1" s="1"/>
  <c r="G42" i="1"/>
  <c r="E42" i="1" a="1"/>
  <c r="E42" i="1" s="1"/>
  <c r="B42" i="1"/>
  <c r="H41" i="1" a="1"/>
  <c r="H41" i="1" s="1"/>
  <c r="G41" i="1"/>
  <c r="E41" i="1" a="1"/>
  <c r="E41" i="1" s="1"/>
  <c r="B41" i="1"/>
  <c r="H40" i="1" a="1"/>
  <c r="H40" i="1" s="1"/>
  <c r="G40" i="1"/>
  <c r="I40" i="1" s="1"/>
  <c r="E40" i="1" a="1"/>
  <c r="E40" i="1" s="1"/>
  <c r="B40" i="1"/>
  <c r="H39" i="1" a="1"/>
  <c r="H39" i="1" s="1"/>
  <c r="G39" i="1"/>
  <c r="I39" i="1" s="1"/>
  <c r="E39" i="1" a="1"/>
  <c r="E39" i="1" s="1"/>
  <c r="B39" i="1"/>
  <c r="H38" i="1" a="1"/>
  <c r="H38" i="1" s="1"/>
  <c r="G38" i="1"/>
  <c r="E38" i="1" a="1"/>
  <c r="E38" i="1" s="1"/>
  <c r="B38" i="1"/>
  <c r="H37" i="1" a="1"/>
  <c r="H37" i="1" s="1"/>
  <c r="G37" i="1"/>
  <c r="E37" i="1" a="1"/>
  <c r="E37" i="1" s="1"/>
  <c r="B37" i="1"/>
  <c r="H36" i="1" a="1"/>
  <c r="H36" i="1" s="1"/>
  <c r="G36" i="1"/>
  <c r="E36" i="1" a="1"/>
  <c r="E36" i="1" s="1"/>
  <c r="B36" i="1"/>
  <c r="H35" i="1" a="1"/>
  <c r="H35" i="1" s="1"/>
  <c r="G35" i="1"/>
  <c r="E35" i="1" a="1"/>
  <c r="E35" i="1" s="1"/>
  <c r="B35" i="1"/>
  <c r="H34" i="1" a="1"/>
  <c r="H34" i="1" s="1"/>
  <c r="G34" i="1"/>
  <c r="E34" i="1" a="1"/>
  <c r="E34" i="1" s="1"/>
  <c r="B34" i="1"/>
  <c r="H33" i="1" a="1"/>
  <c r="H33" i="1" s="1"/>
  <c r="G33" i="1"/>
  <c r="E33" i="1" a="1"/>
  <c r="E33" i="1" s="1"/>
  <c r="B33" i="1"/>
  <c r="H32" i="1" a="1"/>
  <c r="H32" i="1" s="1"/>
  <c r="G32" i="1"/>
  <c r="I32" i="1" s="1"/>
  <c r="E32" i="1" a="1"/>
  <c r="E32" i="1" s="1"/>
  <c r="B32" i="1"/>
  <c r="H31" i="1" a="1"/>
  <c r="H31" i="1" s="1"/>
  <c r="G31" i="1"/>
  <c r="I31" i="1" s="1"/>
  <c r="E31" i="1" a="1"/>
  <c r="E31" i="1" s="1"/>
  <c r="B31" i="1"/>
  <c r="H30" i="1" a="1"/>
  <c r="H30" i="1" s="1"/>
  <c r="G30" i="1"/>
  <c r="E30" i="1" a="1"/>
  <c r="E30" i="1" s="1"/>
  <c r="B30" i="1"/>
  <c r="H29" i="1" a="1"/>
  <c r="H29" i="1" s="1"/>
  <c r="G29" i="1"/>
  <c r="E29" i="1" a="1"/>
  <c r="E29" i="1" s="1"/>
  <c r="B29" i="1"/>
  <c r="H28" i="1" a="1"/>
  <c r="H28" i="1" s="1"/>
  <c r="G28" i="1"/>
  <c r="E28" i="1" a="1"/>
  <c r="E28" i="1" s="1"/>
  <c r="B28" i="1"/>
  <c r="H27" i="1" a="1"/>
  <c r="H27" i="1" s="1"/>
  <c r="G27" i="1"/>
  <c r="E27" i="1" a="1"/>
  <c r="E27" i="1" s="1"/>
  <c r="B27" i="1"/>
  <c r="H26" i="1" a="1"/>
  <c r="H26" i="1" s="1"/>
  <c r="G26" i="1"/>
  <c r="E26" i="1" a="1"/>
  <c r="E26" i="1" s="1"/>
  <c r="B26" i="1"/>
  <c r="H25" i="1" a="1"/>
  <c r="H25" i="1" s="1"/>
  <c r="G25" i="1"/>
  <c r="E25" i="1" a="1"/>
  <c r="E25" i="1" s="1"/>
  <c r="B25" i="1"/>
  <c r="H24" i="1" a="1"/>
  <c r="H24" i="1" s="1"/>
  <c r="G24" i="1"/>
  <c r="I24" i="1" s="1"/>
  <c r="E24" i="1" a="1"/>
  <c r="E24" i="1" s="1"/>
  <c r="B24" i="1"/>
  <c r="H23" i="1" a="1"/>
  <c r="H23" i="1" s="1"/>
  <c r="G23" i="1"/>
  <c r="I23" i="1" s="1"/>
  <c r="E23" i="1" a="1"/>
  <c r="E23" i="1" s="1"/>
  <c r="B23" i="1"/>
  <c r="H22" i="1" a="1"/>
  <c r="H22" i="1" s="1"/>
  <c r="G22" i="1"/>
  <c r="E22" i="1" a="1"/>
  <c r="E22" i="1" s="1"/>
  <c r="B22" i="1"/>
  <c r="H21" i="1" a="1"/>
  <c r="H21" i="1" s="1"/>
  <c r="G21" i="1"/>
  <c r="E21" i="1" a="1"/>
  <c r="E21" i="1" s="1"/>
  <c r="B21" i="1"/>
  <c r="H20" i="1" a="1"/>
  <c r="H20" i="1" s="1"/>
  <c r="G20" i="1"/>
  <c r="E20" i="1" a="1"/>
  <c r="E20" i="1" s="1"/>
  <c r="B20" i="1"/>
  <c r="H19" i="1" a="1"/>
  <c r="H19" i="1" s="1"/>
  <c r="G19" i="1"/>
  <c r="E19" i="1" a="1"/>
  <c r="E19" i="1" s="1"/>
  <c r="B19" i="1"/>
  <c r="H18" i="1" a="1"/>
  <c r="H18" i="1" s="1"/>
  <c r="G18" i="1"/>
  <c r="E18" i="1" a="1"/>
  <c r="E18" i="1" s="1"/>
  <c r="B18" i="1"/>
  <c r="H17" i="1" a="1"/>
  <c r="H17" i="1" s="1"/>
  <c r="G17" i="1"/>
  <c r="E17" i="1" a="1"/>
  <c r="E17" i="1" s="1"/>
  <c r="B17" i="1"/>
  <c r="H16" i="1" a="1"/>
  <c r="H16" i="1" s="1"/>
  <c r="G16" i="1"/>
  <c r="I16" i="1" s="1"/>
  <c r="E16" i="1" a="1"/>
  <c r="E16" i="1" s="1"/>
  <c r="B16" i="1"/>
  <c r="H15" i="1" a="1"/>
  <c r="H15" i="1" s="1"/>
  <c r="G15" i="1"/>
  <c r="I15" i="1" s="1"/>
  <c r="E15" i="1" a="1"/>
  <c r="E15" i="1" s="1"/>
  <c r="B15" i="1"/>
  <c r="H14" i="1" a="1"/>
  <c r="H14" i="1" s="1"/>
  <c r="G14" i="1"/>
  <c r="E14" i="1" a="1"/>
  <c r="E14" i="1" s="1"/>
  <c r="B14" i="1"/>
  <c r="H13" i="1" a="1"/>
  <c r="H13" i="1" s="1"/>
  <c r="G13" i="1"/>
  <c r="E13" i="1" a="1"/>
  <c r="E13" i="1" s="1"/>
  <c r="B13" i="1"/>
  <c r="H12" i="1" a="1"/>
  <c r="H12" i="1" s="1"/>
  <c r="G12" i="1"/>
  <c r="E12" i="1" a="1"/>
  <c r="E12" i="1" s="1"/>
  <c r="B12" i="1"/>
  <c r="H11" i="1" a="1"/>
  <c r="H11" i="1" s="1"/>
  <c r="G11" i="1"/>
  <c r="E11" i="1" a="1"/>
  <c r="E11" i="1" s="1"/>
  <c r="B11" i="1"/>
  <c r="H10" i="1" a="1"/>
  <c r="H10" i="1" s="1"/>
  <c r="G10" i="1"/>
  <c r="E10" i="1" a="1"/>
  <c r="E10" i="1" s="1"/>
  <c r="B10" i="1"/>
  <c r="H9" i="1" a="1"/>
  <c r="H9" i="1" s="1"/>
  <c r="G9" i="1"/>
  <c r="E9" i="1" a="1"/>
  <c r="E9" i="1" s="1"/>
  <c r="B9" i="1"/>
  <c r="H8" i="1" a="1"/>
  <c r="H8" i="1" s="1"/>
  <c r="G8" i="1"/>
  <c r="I8" i="1" s="1"/>
  <c r="E8" i="1" a="1"/>
  <c r="E8" i="1" s="1"/>
  <c r="B8" i="1"/>
  <c r="H7" i="1" a="1"/>
  <c r="H7" i="1" s="1"/>
  <c r="G7" i="1"/>
  <c r="I7" i="1" s="1"/>
  <c r="E7" i="1" a="1"/>
  <c r="E7" i="1" s="1"/>
  <c r="B7" i="1"/>
  <c r="H6" i="1" a="1"/>
  <c r="H6" i="1" s="1"/>
  <c r="G6" i="1"/>
  <c r="E6" i="1" a="1"/>
  <c r="E6" i="1" s="1"/>
  <c r="B6" i="1"/>
  <c r="H5" i="1" a="1"/>
  <c r="H5" i="1" s="1"/>
  <c r="G5" i="1"/>
  <c r="E5" i="1" a="1"/>
  <c r="E5" i="1" s="1"/>
  <c r="B5" i="1"/>
  <c r="D49" i="1"/>
  <c r="D46" i="1"/>
  <c r="D38" i="1"/>
  <c r="D30" i="1"/>
  <c r="D22" i="1"/>
  <c r="D14" i="1"/>
  <c r="D6" i="1"/>
  <c r="D12" i="1"/>
  <c r="D42" i="1"/>
  <c r="D34" i="1"/>
  <c r="D18" i="1"/>
  <c r="D41" i="1"/>
  <c r="D33" i="1"/>
  <c r="D25" i="1"/>
  <c r="D17" i="1"/>
  <c r="D9" i="1"/>
  <c r="D15" i="1"/>
  <c r="D10" i="1"/>
  <c r="D44" i="1"/>
  <c r="D36" i="1"/>
  <c r="D28" i="1"/>
  <c r="D20" i="1"/>
  <c r="D23" i="1"/>
  <c r="D26" i="1"/>
  <c r="D47" i="1"/>
  <c r="D39" i="1"/>
  <c r="D31" i="1"/>
  <c r="D7" i="1"/>
  <c r="D50" i="1"/>
  <c r="D45" i="1"/>
  <c r="D37" i="1"/>
  <c r="D29" i="1"/>
  <c r="D21" i="1"/>
  <c r="D13" i="1"/>
  <c r="D5" i="1"/>
  <c r="D43" i="1"/>
  <c r="D35" i="1"/>
  <c r="D27" i="1"/>
  <c r="D19" i="1"/>
  <c r="D11" i="1"/>
  <c r="D48" i="1"/>
  <c r="D40" i="1"/>
  <c r="D32" i="1"/>
  <c r="D24" i="1"/>
  <c r="D16" i="1"/>
  <c r="D8" i="1"/>
  <c r="F48" i="1" l="1"/>
  <c r="F5" i="1"/>
  <c r="D2" i="1"/>
  <c r="F13" i="1"/>
  <c r="F21" i="1"/>
  <c r="F29" i="1"/>
  <c r="F37" i="1"/>
  <c r="F45" i="1"/>
  <c r="F50" i="1"/>
  <c r="F26" i="1"/>
  <c r="F10" i="1"/>
  <c r="F9" i="1"/>
  <c r="F17" i="1"/>
  <c r="F25" i="1"/>
  <c r="F33" i="1"/>
  <c r="F41" i="1"/>
  <c r="F18" i="1"/>
  <c r="F34" i="1"/>
  <c r="F42" i="1"/>
  <c r="I11" i="1"/>
  <c r="I19" i="1"/>
  <c r="I27" i="1"/>
  <c r="I35" i="1"/>
  <c r="J35" i="1" s="1"/>
  <c r="I43" i="1"/>
  <c r="I50" i="1"/>
  <c r="J50" i="1" s="1"/>
  <c r="F47" i="1"/>
  <c r="J47" i="1"/>
  <c r="I9" i="1"/>
  <c r="J9" i="1" s="1"/>
  <c r="F11" i="1"/>
  <c r="I17" i="1"/>
  <c r="J17" i="1" s="1"/>
  <c r="F19" i="1"/>
  <c r="J19" i="1" s="1"/>
  <c r="I25" i="1"/>
  <c r="J25" i="1" s="1"/>
  <c r="F27" i="1"/>
  <c r="I33" i="1"/>
  <c r="F35" i="1"/>
  <c r="I41" i="1"/>
  <c r="F43" i="1"/>
  <c r="I6" i="1"/>
  <c r="F8" i="1"/>
  <c r="J8" i="1" s="1"/>
  <c r="I14" i="1"/>
  <c r="F16" i="1"/>
  <c r="I22" i="1"/>
  <c r="F24" i="1"/>
  <c r="I30" i="1"/>
  <c r="F32" i="1"/>
  <c r="I38" i="1"/>
  <c r="F40" i="1"/>
  <c r="J40" i="1" s="1"/>
  <c r="I46" i="1"/>
  <c r="J16" i="1"/>
  <c r="J32" i="1"/>
  <c r="I5" i="1"/>
  <c r="J5" i="1" s="1"/>
  <c r="F7" i="1"/>
  <c r="J7" i="1" s="1"/>
  <c r="I13" i="1"/>
  <c r="J13" i="1" s="1"/>
  <c r="F15" i="1"/>
  <c r="J15" i="1" s="1"/>
  <c r="I21" i="1"/>
  <c r="J21" i="1" s="1"/>
  <c r="F23" i="1"/>
  <c r="J23" i="1" s="1"/>
  <c r="I29" i="1"/>
  <c r="J29" i="1" s="1"/>
  <c r="F31" i="1"/>
  <c r="J31" i="1" s="1"/>
  <c r="I37" i="1"/>
  <c r="F39" i="1"/>
  <c r="J39" i="1" s="1"/>
  <c r="I45" i="1"/>
  <c r="J48" i="1"/>
  <c r="J11" i="1"/>
  <c r="J27" i="1"/>
  <c r="J24" i="1"/>
  <c r="I10" i="1"/>
  <c r="J10" i="1" s="1"/>
  <c r="F12" i="1"/>
  <c r="I18" i="1"/>
  <c r="J18" i="1" s="1"/>
  <c r="F20" i="1"/>
  <c r="I26" i="1"/>
  <c r="J26" i="1" s="1"/>
  <c r="F28" i="1"/>
  <c r="I34" i="1"/>
  <c r="J34" i="1" s="1"/>
  <c r="F36" i="1"/>
  <c r="I42" i="1"/>
  <c r="J42" i="1" s="1"/>
  <c r="F44" i="1"/>
  <c r="F6" i="1"/>
  <c r="I12" i="1"/>
  <c r="J12" i="1" s="1"/>
  <c r="F14" i="1"/>
  <c r="I20" i="1"/>
  <c r="F22" i="1"/>
  <c r="I28" i="1"/>
  <c r="F30" i="1"/>
  <c r="I36" i="1"/>
  <c r="F38" i="1"/>
  <c r="I44" i="1"/>
  <c r="J44" i="1" s="1"/>
  <c r="F46" i="1"/>
  <c r="F49" i="1"/>
  <c r="J49" i="1" s="1"/>
  <c r="F1" i="3"/>
  <c r="N1" i="3"/>
  <c r="V1" i="3"/>
  <c r="H4" i="6"/>
  <c r="P4" i="6"/>
  <c r="X4" i="6"/>
  <c r="G1" i="3"/>
  <c r="O1" i="3"/>
  <c r="W1" i="3"/>
  <c r="I4" i="6"/>
  <c r="Q4" i="6"/>
  <c r="Y4" i="6"/>
  <c r="H1" i="3"/>
  <c r="P1" i="3"/>
  <c r="X1" i="3"/>
  <c r="J4" i="6"/>
  <c r="R4" i="6"/>
  <c r="B1" i="3"/>
  <c r="I1" i="3"/>
  <c r="Q1" i="3"/>
  <c r="Y1" i="3"/>
  <c r="D4" i="6"/>
  <c r="K4" i="6"/>
  <c r="S4" i="6"/>
  <c r="AA4" i="6"/>
  <c r="J1" i="3"/>
  <c r="L4" i="6"/>
  <c r="T4" i="6"/>
  <c r="AB4" i="6"/>
  <c r="R1" i="3"/>
  <c r="Z1" i="3"/>
  <c r="C1" i="3"/>
  <c r="K1" i="3"/>
  <c r="S1" i="3"/>
  <c r="E4" i="6"/>
  <c r="M4" i="6"/>
  <c r="U4" i="6"/>
  <c r="D1" i="3"/>
  <c r="L1" i="3"/>
  <c r="F4" i="6"/>
  <c r="N4" i="6"/>
  <c r="J38" i="1" l="1"/>
  <c r="J6" i="1"/>
  <c r="J45" i="1"/>
  <c r="J43" i="1"/>
  <c r="J41" i="1"/>
  <c r="J37" i="1"/>
  <c r="J33" i="1"/>
  <c r="J20" i="1"/>
  <c r="J30" i="1"/>
  <c r="J36" i="1"/>
  <c r="J22" i="1"/>
  <c r="J28" i="1"/>
  <c r="J46" i="1"/>
  <c r="J14" i="1"/>
</calcChain>
</file>

<file path=xl/sharedStrings.xml><?xml version="1.0" encoding="utf-8"?>
<sst xmlns="http://schemas.openxmlformats.org/spreadsheetml/2006/main" count="43" uniqueCount="31">
  <si>
    <t>Sammendrag</t>
  </si>
  <si>
    <t>Hvem</t>
  </si>
  <si>
    <t>Har Vipps</t>
  </si>
  <si>
    <t>Fellesutgifter</t>
  </si>
  <si>
    <t>P2P-utgifter</t>
  </si>
  <si>
    <t>Totale utgifter</t>
  </si>
  <si>
    <t>Fellesutlegg</t>
  </si>
  <si>
    <t>P2P-utlegg</t>
  </si>
  <si>
    <t>Totale utlegg</t>
  </si>
  <si>
    <t>Netto</t>
  </si>
  <si>
    <t>Ja</t>
  </si>
  <si>
    <t>Bob</t>
  </si>
  <si>
    <t>Alice</t>
  </si>
  <si>
    <t>Charlie</t>
  </si>
  <si>
    <t>Fra\Til</t>
  </si>
  <si>
    <t>Sum</t>
  </si>
  <si>
    <t>Nummer</t>
  </si>
  <si>
    <t>Forklaring</t>
  </si>
  <si>
    <t>Betalende</t>
  </si>
  <si>
    <t>Beløp</t>
  </si>
  <si>
    <t>Fordeling</t>
  </si>
  <si>
    <t>Kommenar</t>
  </si>
  <si>
    <t>Food 1</t>
  </si>
  <si>
    <t>Food 2</t>
  </si>
  <si>
    <t>Gas</t>
  </si>
  <si>
    <t>Food</t>
  </si>
  <si>
    <t>Kommentar</t>
  </si>
  <si>
    <t>Person-til-person-utgifter</t>
  </si>
  <si>
    <t>Road-trip snacks</t>
  </si>
  <si>
    <t>Betalt av</t>
  </si>
  <si>
    <t>Betalt 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</si>
</sst>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&quot;kr&quot;\ * #,##0_-;\-&quot;kr&quot;\ * #,##0_-;_-&quot;kr&quot;\ * &quot;-&quot;??_-;_-@_-"/>
    <numFmt numFmtId="165" formatCode="&quot;kr&quot;\ #,##0.00"/>
    <numFmt numFmtId="166" formatCode="_-&quot;kr&quot;\ * #,##0.00_-;\-&quot;kr&quot;\ * #,##0.00_-;_-&quot;kr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0A010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6" fontId="1" fillId="0" borderId="0"/>
  </cellStyleXfs>
  <cellXfs count="54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1" applyNumberFormat="1" applyFont="1"/>
    <xf numFmtId="0" fontId="0" fillId="0" borderId="2" xfId="0" applyBorder="1"/>
    <xf numFmtId="0" fontId="2" fillId="0" borderId="1" xfId="0" applyFont="1" applyBorder="1"/>
    <xf numFmtId="0" fontId="0" fillId="0" borderId="4" xfId="0" applyBorder="1"/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0" fontId="0" fillId="0" borderId="0" xfId="1" applyNumberFormat="1" applyFont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2" fillId="0" borderId="0" xfId="1" applyNumberFormat="1" applyFont="1"/>
    <xf numFmtId="164" fontId="2" fillId="0" borderId="0" xfId="0" applyNumberFormat="1" applyFont="1"/>
    <xf numFmtId="165" fontId="0" fillId="0" borderId="0" xfId="0" applyNumberFormat="1"/>
    <xf numFmtId="166" fontId="1" fillId="0" borderId="3" xfId="1" applyBorder="1"/>
    <xf numFmtId="165" fontId="0" fillId="0" borderId="0" xfId="0" applyNumberFormat="1" applyAlignment="1">
      <alignment wrapText="1"/>
    </xf>
    <xf numFmtId="166" fontId="0" fillId="0" borderId="0" xfId="1" applyFont="1"/>
    <xf numFmtId="0" fontId="0" fillId="0" borderId="0" xfId="0" applyAlignment="1">
      <alignment vertical="top" wrapText="1"/>
    </xf>
    <xf numFmtId="166" fontId="1" fillId="0" borderId="0" xfId="1"/>
    <xf numFmtId="0" fontId="2" fillId="0" borderId="0" xfId="0" applyFont="1" applyAlignment="1">
      <alignment horizontal="left" vertical="center"/>
    </xf>
    <xf numFmtId="0" fontId="0" fillId="2" borderId="0" xfId="0" applyFill="1"/>
    <xf numFmtId="164" fontId="0" fillId="2" borderId="0" xfId="1" applyNumberFormat="1" applyFont="1" applyFill="1"/>
    <xf numFmtId="0" fontId="2" fillId="0" borderId="0" xfId="0" applyFont="1"/>
    <xf numFmtId="0" fontId="0" fillId="2" borderId="0" xfId="0" applyFill="1" applyAlignment="1">
      <alignment vertical="top" wrapText="1"/>
    </xf>
    <xf numFmtId="0" fontId="0" fillId="2" borderId="0" xfId="0" applyFill="1" applyAlignment="1">
      <alignment wrapText="1"/>
    </xf>
    <xf numFmtId="166" fontId="1" fillId="2" borderId="0" xfId="1" applyFill="1"/>
    <xf numFmtId="0" fontId="0" fillId="2" borderId="5" xfId="1" applyNumberFormat="1" applyFont="1" applyFill="1" applyBorder="1"/>
    <xf numFmtId="166" fontId="0" fillId="2" borderId="5" xfId="1" applyFont="1" applyFill="1" applyBorder="1"/>
    <xf numFmtId="165" fontId="0" fillId="2" borderId="5" xfId="0" applyNumberFormat="1" applyFill="1" applyBorder="1"/>
    <xf numFmtId="166" fontId="0" fillId="2" borderId="5" xfId="0" applyNumberFormat="1" applyFill="1" applyBorder="1"/>
    <xf numFmtId="166" fontId="1" fillId="2" borderId="5" xfId="1" applyFill="1" applyBorder="1"/>
    <xf numFmtId="0" fontId="0" fillId="2" borderId="5" xfId="0" applyFill="1" applyBorder="1" applyAlignment="1">
      <alignment horizontal="left" vertical="center" wrapText="1"/>
    </xf>
    <xf numFmtId="0" fontId="2" fillId="2" borderId="5" xfId="0" applyFont="1" applyFill="1" applyBorder="1"/>
    <xf numFmtId="165" fontId="2" fillId="2" borderId="5" xfId="0" applyNumberFormat="1" applyFont="1" applyFill="1" applyBorder="1"/>
    <xf numFmtId="0" fontId="2" fillId="2" borderId="5" xfId="1" applyNumberFormat="1" applyFont="1" applyFill="1" applyBorder="1"/>
    <xf numFmtId="0" fontId="0" fillId="2" borderId="5" xfId="0" applyFill="1" applyBorder="1"/>
    <xf numFmtId="0" fontId="0" fillId="0" borderId="0" xfId="0"/>
    <xf numFmtId="0" fontId="1" fillId="0" borderId="0" xfId="1" applyNumberFormat="1"/>
    <xf numFmtId="0" fontId="0" fillId="2" borderId="6" xfId="0" applyFill="1" applyBorder="1"/>
    <xf numFmtId="164" fontId="0" fillId="0" borderId="0" xfId="1" applyNumberFormat="1" applyFont="1"/>
    <xf numFmtId="0" fontId="2" fillId="0" borderId="7" xfId="0" applyFont="1" applyBorder="1"/>
    <xf numFmtId="0" fontId="0" fillId="0" borderId="7" xfId="0" applyBorder="1"/>
    <xf numFmtId="0" fontId="2" fillId="0" borderId="8" xfId="0" applyFont="1" applyBorder="1"/>
    <xf numFmtId="0" fontId="0" fillId="2" borderId="2" xfId="0" applyFill="1" applyBorder="1"/>
    <xf numFmtId="0" fontId="0" fillId="2" borderId="2" xfId="1" applyNumberFormat="1" applyFont="1" applyFill="1" applyBorder="1"/>
    <xf numFmtId="0" fontId="4" fillId="0" borderId="0" xfId="0" applyFont="1"/>
    <xf numFmtId="164" fontId="0" fillId="0" borderId="0" xfId="0" applyNumberFormat="1"/>
    <xf numFmtId="0" fontId="1" fillId="2" borderId="5" xfId="1" applyNumberFormat="1" applyFill="1" applyBorder="1"/>
    <xf numFmtId="0" fontId="2" fillId="0" borderId="0" xfId="0" applyFont="1" applyAlignment="1">
      <alignment vertical="top" wrapText="1"/>
    </xf>
    <xf numFmtId="43" fontId="2" fillId="0" borderId="0" xfId="0" applyNumberFormat="1" applyFont="1"/>
    <xf numFmtId="43" fontId="2" fillId="0" borderId="0" xfId="0" applyNumberFormat="1" applyFont="1" applyAlignment="1">
      <alignment vertical="center" wrapText="1"/>
    </xf>
  </cellXfs>
  <cellStyles count="2">
    <cellStyle name="Normal" xfId="0" builtinId="0"/>
    <cellStyle name="Valuta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60"/>
  <sheetViews>
    <sheetView tabSelected="1" workbookViewId="0">
      <selection activeCell="K10" sqref="K10"/>
    </sheetView>
  </sheetViews>
  <sheetFormatPr baseColWidth="10" defaultColWidth="12.6640625" defaultRowHeight="14.4" x14ac:dyDescent="0.3"/>
  <cols>
    <col min="1" max="1" width="8.88671875" style="39" customWidth="1"/>
    <col min="2" max="2" width="13.33203125" style="39" customWidth="1"/>
    <col min="4" max="4" width="13" style="39" bestFit="1" customWidth="1"/>
    <col min="6" max="6" width="13.6640625" style="39" bestFit="1" customWidth="1"/>
    <col min="11" max="11" width="12.6640625" style="39" customWidth="1"/>
  </cols>
  <sheetData>
    <row r="2" spans="2:12" ht="18.75" customHeight="1" x14ac:dyDescent="0.35">
      <c r="B2" s="1" t="s">
        <v>0</v>
      </c>
      <c r="D2" s="49">
        <f>SUM(D5:D24)</f>
        <v>450</v>
      </c>
      <c r="F2" s="48"/>
      <c r="G2" s="49"/>
      <c r="I2" s="49"/>
    </row>
    <row r="4" spans="2:12" x14ac:dyDescent="0.3">
      <c r="B4" s="11" t="s">
        <v>1</v>
      </c>
      <c r="C4" s="11" t="s">
        <v>2</v>
      </c>
      <c r="D4" s="11" t="s">
        <v>3</v>
      </c>
      <c r="E4" s="11" t="s">
        <v>4</v>
      </c>
      <c r="F4" s="13" t="s">
        <v>5</v>
      </c>
      <c r="G4" s="11" t="s">
        <v>6</v>
      </c>
      <c r="H4" s="11" t="s">
        <v>7</v>
      </c>
      <c r="I4" s="13" t="s">
        <v>8</v>
      </c>
      <c r="J4" s="13" t="s">
        <v>9</v>
      </c>
      <c r="K4" s="22"/>
      <c r="L4" s="12"/>
    </row>
    <row r="5" spans="2:12" x14ac:dyDescent="0.3">
      <c r="B5" s="25" t="str">
        <f>IF(Deltagere!A1&gt;0,Deltagere!A1,"")</f>
        <v>Bob</v>
      </c>
      <c r="C5" s="23" t="s">
        <v>10</v>
      </c>
      <c r="D5" s="42">
        <f>CommonExpenses(Sammendrag!B5,Fellesutgifter!$E$7:$E$100,Fellesutgifter!$F$7:$F$100,Fordelingsnøkler!$B$2:$O$49)</f>
        <v>190</v>
      </c>
      <c r="E5" s="42">
        <f t="array" aca="1" ref="E5" ca="1">SUM(IF(MOD(ROW(OFFSET('P2P-utgifter'!D$5:D$100,0,ROW()-5)),2)=0,OFFSET('P2P-utgifter'!D$5:D$100,0,ROW()-5),0))</f>
        <v>25</v>
      </c>
      <c r="F5" s="14">
        <f t="shared" ref="F5:F50" ca="1" si="0">D5+E5</f>
        <v>215</v>
      </c>
      <c r="G5" s="42">
        <f>SUMIFS(Fellesutgifter!$E$7:$E$100,Fellesutgifter!$D$7:$D$100,Sammendrag!B5)</f>
        <v>250</v>
      </c>
      <c r="H5" s="42">
        <f t="array" aca="1" ref="H5" ca="1">SUM(IF(MOD(ROW(OFFSET('P2P-utgifter'!D$5:D$100,0,ROW()-5)),2)&lt;&gt;0,OFFSET('P2P-utgifter'!D$5:D$100,0,ROW()-5),0))</f>
        <v>50</v>
      </c>
      <c r="I5" s="15">
        <f t="shared" ref="I5:I50" ca="1" si="1">G5+H5</f>
        <v>300</v>
      </c>
      <c r="J5" s="15">
        <f t="shared" ref="J5:J50" ca="1" si="2">I5-F5</f>
        <v>85</v>
      </c>
      <c r="K5" s="15"/>
      <c r="L5" s="42"/>
    </row>
    <row r="6" spans="2:12" x14ac:dyDescent="0.3">
      <c r="B6" s="25" t="str">
        <f>IF(Deltagere!A2&gt;0,Deltagere!A2,"")</f>
        <v>Alice</v>
      </c>
      <c r="C6" s="23" t="s">
        <v>10</v>
      </c>
      <c r="D6" s="42">
        <f>CommonExpenses(Sammendrag!B6,Fellesutgifter!$E$7:$E$100,Fellesutgifter!$F$7:$F$100,Fordelingsnøkler!$B$2:$O$49)</f>
        <v>120</v>
      </c>
      <c r="E6" s="42">
        <f t="array" aca="1" ref="E6" ca="1">SUM(IF(MOD(ROW(OFFSET('P2P-utgifter'!D$5:D$100,0,ROW()-5)),2)=0,OFFSET('P2P-utgifter'!D$5:D$100,0,ROW()-5),0))</f>
        <v>25</v>
      </c>
      <c r="F6" s="14">
        <f t="shared" ca="1" si="0"/>
        <v>145</v>
      </c>
      <c r="G6" s="42">
        <f>SUMIFS(Fellesutgifter!$E$7:$E$100,Fellesutgifter!$D$7:$D$100,Sammendrag!B6)</f>
        <v>0</v>
      </c>
      <c r="H6" s="42">
        <f t="array" aca="1" ref="H6" ca="1">SUM(IF(MOD(ROW(OFFSET('P2P-utgifter'!D$5:D$100,0,ROW()-5)),2)&lt;&gt;0,OFFSET('P2P-utgifter'!D$5:D$100,0,ROW()-5),0))</f>
        <v>0</v>
      </c>
      <c r="I6" s="15">
        <f t="shared" ca="1" si="1"/>
        <v>0</v>
      </c>
      <c r="J6" s="15">
        <f t="shared" ca="1" si="2"/>
        <v>-145</v>
      </c>
      <c r="K6" s="15"/>
      <c r="L6" s="42"/>
    </row>
    <row r="7" spans="2:12" x14ac:dyDescent="0.3">
      <c r="B7" s="25" t="str">
        <f>IF(Deltagere!A3&gt;0,Deltagere!A3,"")</f>
        <v>Charlie</v>
      </c>
      <c r="C7" s="23" t="s">
        <v>10</v>
      </c>
      <c r="D7" s="42">
        <f>CommonExpenses(Sammendrag!B7,Fellesutgifter!$E$7:$E$100,Fellesutgifter!$F$7:$F$100,Fordelingsnøkler!$B$2:$O$49)</f>
        <v>140</v>
      </c>
      <c r="E7" s="42">
        <f t="array" aca="1" ref="E7" ca="1">SUM(IF(MOD(ROW(OFFSET('P2P-utgifter'!D$5:D$100,0,ROW()-5)),2)=0,OFFSET('P2P-utgifter'!D$5:D$100,0,ROW()-5),0))</f>
        <v>0</v>
      </c>
      <c r="F7" s="14">
        <f t="shared" ca="1" si="0"/>
        <v>140</v>
      </c>
      <c r="G7" s="42">
        <f>SUMIFS(Fellesutgifter!$E$7:$E$100,Fellesutgifter!$D$7:$D$100,Sammendrag!B7)</f>
        <v>200</v>
      </c>
      <c r="H7" s="42">
        <f t="array" aca="1" ref="H7" ca="1">SUM(IF(MOD(ROW(OFFSET('P2P-utgifter'!D$5:D$100,0,ROW()-5)),2)&lt;&gt;0,OFFSET('P2P-utgifter'!D$5:D$100,0,ROW()-5),0))</f>
        <v>0</v>
      </c>
      <c r="I7" s="15">
        <f t="shared" ca="1" si="1"/>
        <v>200</v>
      </c>
      <c r="J7" s="15">
        <f t="shared" ca="1" si="2"/>
        <v>60</v>
      </c>
      <c r="K7" s="15"/>
      <c r="L7" s="42"/>
    </row>
    <row r="8" spans="2:12" x14ac:dyDescent="0.3">
      <c r="B8" s="25" t="str">
        <f>IF(Deltagere!A4&gt;0,Deltagere!A4,"")</f>
        <v/>
      </c>
      <c r="C8" s="23"/>
      <c r="D8" s="42">
        <f>CommonExpenses(Sammendrag!B8,Fellesutgifter!$E$7:$E$100,Fellesutgifter!$F$7:$F$100,Fordelingsnøkler!$B$2:$O$49)</f>
        <v>0</v>
      </c>
      <c r="E8" s="42">
        <f t="array" aca="1" ref="E8" ca="1">SUM(IF(MOD(ROW(OFFSET('P2P-utgifter'!D$5:D$100,0,ROW()-5)),2)=0,OFFSET('P2P-utgifter'!D$5:D$100,0,ROW()-5),0))</f>
        <v>0</v>
      </c>
      <c r="F8" s="14">
        <f t="shared" ca="1" si="0"/>
        <v>0</v>
      </c>
      <c r="G8" s="42">
        <f>SUMIFS(Fellesutgifter!$E$7:$E$100,Fellesutgifter!$D$7:$D$100,Sammendrag!B8)</f>
        <v>0</v>
      </c>
      <c r="H8" s="42">
        <f t="array" aca="1" ref="H8" ca="1">SUM(IF(MOD(ROW(OFFSET('P2P-utgifter'!D$5:D$100,0,ROW()-5)),2)&lt;&gt;0,OFFSET('P2P-utgifter'!D$5:D$100,0,ROW()-5),0))</f>
        <v>0</v>
      </c>
      <c r="I8" s="15">
        <f t="shared" ca="1" si="1"/>
        <v>0</v>
      </c>
      <c r="J8" s="15">
        <f t="shared" ca="1" si="2"/>
        <v>0</v>
      </c>
      <c r="K8" s="15"/>
      <c r="L8" s="42"/>
    </row>
    <row r="9" spans="2:12" x14ac:dyDescent="0.3">
      <c r="B9" s="25" t="str">
        <f>IF(Deltagere!A5&gt;0,Deltagere!A5,"")</f>
        <v/>
      </c>
      <c r="C9" s="23"/>
      <c r="D9" s="42">
        <f>CommonExpenses(Sammendrag!B9,Fellesutgifter!$E$7:$E$100,Fellesutgifter!$F$7:$F$100,Fordelingsnøkler!$B$2:$O$49)</f>
        <v>0</v>
      </c>
      <c r="E9" s="42">
        <f t="array" aca="1" ref="E9" ca="1">SUM(IF(MOD(ROW(OFFSET('P2P-utgifter'!D$5:D$100,0,ROW()-5)),2)=0,OFFSET('P2P-utgifter'!D$5:D$100,0,ROW()-5),0))</f>
        <v>0</v>
      </c>
      <c r="F9" s="14">
        <f t="shared" ca="1" si="0"/>
        <v>0</v>
      </c>
      <c r="G9" s="42">
        <f>SUMIFS(Fellesutgifter!$E$7:$E$100,Fellesutgifter!$D$7:$D$100,Sammendrag!B9)</f>
        <v>0</v>
      </c>
      <c r="H9" s="42">
        <f t="array" aca="1" ref="H9" ca="1">SUM(IF(MOD(ROW(OFFSET('P2P-utgifter'!D$5:D$100,0,ROW()-5)),2)&lt;&gt;0,OFFSET('P2P-utgifter'!D$5:D$100,0,ROW()-5),0))</f>
        <v>0</v>
      </c>
      <c r="I9" s="15">
        <f t="shared" ca="1" si="1"/>
        <v>0</v>
      </c>
      <c r="J9" s="15">
        <f t="shared" ca="1" si="2"/>
        <v>0</v>
      </c>
      <c r="K9" s="15"/>
      <c r="L9" s="42"/>
    </row>
    <row r="10" spans="2:12" x14ac:dyDescent="0.3">
      <c r="B10" s="25" t="str">
        <f>IF(Deltagere!A6&gt;0,Deltagere!A6,"")</f>
        <v/>
      </c>
      <c r="C10" s="23"/>
      <c r="D10" s="42">
        <f>CommonExpenses(Sammendrag!B10,Fellesutgifter!$E$7:$E$100,Fellesutgifter!$F$7:$F$100,Fordelingsnøkler!$B$2:$O$49)</f>
        <v>0</v>
      </c>
      <c r="E10" s="42">
        <f t="array" aca="1" ref="E10" ca="1">SUM(IF(MOD(ROW(OFFSET('P2P-utgifter'!D$5:D$100,0,ROW()-5)),2)=0,OFFSET('P2P-utgifter'!D$5:D$100,0,ROW()-5),0))</f>
        <v>0</v>
      </c>
      <c r="F10" s="14">
        <f t="shared" ca="1" si="0"/>
        <v>0</v>
      </c>
      <c r="G10" s="42">
        <f>SUMIFS(Fellesutgifter!$E$7:$E$100,Fellesutgifter!$D$7:$D$100,Sammendrag!B10)</f>
        <v>0</v>
      </c>
      <c r="H10" s="42">
        <f t="array" aca="1" ref="H10" ca="1">SUM(IF(MOD(ROW(OFFSET('P2P-utgifter'!D$5:D$100,0,ROW()-5)),2)&lt;&gt;0,OFFSET('P2P-utgifter'!D$5:D$100,0,ROW()-5),0))</f>
        <v>0</v>
      </c>
      <c r="I10" s="15">
        <f t="shared" ca="1" si="1"/>
        <v>0</v>
      </c>
      <c r="J10" s="15">
        <f t="shared" ca="1" si="2"/>
        <v>0</v>
      </c>
      <c r="K10" s="15"/>
      <c r="L10" s="42"/>
    </row>
    <row r="11" spans="2:12" x14ac:dyDescent="0.3">
      <c r="B11" s="25" t="str">
        <f>IF(Deltagere!A7&gt;0,Deltagere!A7,"")</f>
        <v/>
      </c>
      <c r="C11" s="23"/>
      <c r="D11" s="42">
        <f>CommonExpenses(Sammendrag!B11,Fellesutgifter!$E$7:$E$100,Fellesutgifter!$F$7:$F$100,Fordelingsnøkler!$B$2:$O$49)</f>
        <v>0</v>
      </c>
      <c r="E11" s="42">
        <f t="array" aca="1" ref="E11" ca="1">SUM(IF(MOD(ROW(OFFSET('P2P-utgifter'!D$5:D$100,0,ROW()-5)),2)=0,OFFSET('P2P-utgifter'!D$5:D$100,0,ROW()-5),0))</f>
        <v>0</v>
      </c>
      <c r="F11" s="14">
        <f t="shared" ca="1" si="0"/>
        <v>0</v>
      </c>
      <c r="G11" s="42">
        <f>SUMIFS(Fellesutgifter!$E$7:$E$100,Fellesutgifter!$D$7:$D$100,Sammendrag!B11)</f>
        <v>0</v>
      </c>
      <c r="H11" s="42">
        <f t="array" aca="1" ref="H11" ca="1">SUM(IF(MOD(ROW(OFFSET('P2P-utgifter'!D$5:D$100,0,ROW()-5)),2)&lt;&gt;0,OFFSET('P2P-utgifter'!D$5:D$100,0,ROW()-5),0))</f>
        <v>0</v>
      </c>
      <c r="I11" s="15">
        <f t="shared" ca="1" si="1"/>
        <v>0</v>
      </c>
      <c r="J11" s="15">
        <f t="shared" ca="1" si="2"/>
        <v>0</v>
      </c>
      <c r="K11" s="15"/>
      <c r="L11" s="42"/>
    </row>
    <row r="12" spans="2:12" x14ac:dyDescent="0.3">
      <c r="B12" s="25" t="str">
        <f>IF(Deltagere!A8&gt;0,Deltagere!A8,"")</f>
        <v/>
      </c>
      <c r="C12" s="23"/>
      <c r="D12" s="42">
        <f>CommonExpenses(Sammendrag!B12,Fellesutgifter!$E$7:$E$100,Fellesutgifter!$F$7:$F$100,Fordelingsnøkler!$B$2:$O$49)</f>
        <v>0</v>
      </c>
      <c r="E12" s="42">
        <f t="array" aca="1" ref="E12" ca="1">SUM(IF(MOD(ROW(OFFSET('P2P-utgifter'!D$5:D$100,0,ROW()-5)),2)=0,OFFSET('P2P-utgifter'!D$5:D$100,0,ROW()-5),0))</f>
        <v>0</v>
      </c>
      <c r="F12" s="14">
        <f t="shared" ca="1" si="0"/>
        <v>0</v>
      </c>
      <c r="G12" s="42">
        <f>SUMIFS(Fellesutgifter!$E$7:$E$100,Fellesutgifter!$D$7:$D$100,Sammendrag!B12)</f>
        <v>0</v>
      </c>
      <c r="H12" s="42">
        <f t="array" aca="1" ref="H12" ca="1">SUM(IF(MOD(ROW(OFFSET('P2P-utgifter'!D$5:D$100,0,ROW()-5)),2)&lt;&gt;0,OFFSET('P2P-utgifter'!D$5:D$100,0,ROW()-5),0))</f>
        <v>0</v>
      </c>
      <c r="I12" s="15">
        <f t="shared" ca="1" si="1"/>
        <v>0</v>
      </c>
      <c r="J12" s="15">
        <f t="shared" ca="1" si="2"/>
        <v>0</v>
      </c>
      <c r="K12" s="15"/>
      <c r="L12" s="42"/>
    </row>
    <row r="13" spans="2:12" x14ac:dyDescent="0.3">
      <c r="B13" s="25" t="str">
        <f>IF(Deltagere!A9&gt;0,Deltagere!A9,"")</f>
        <v/>
      </c>
      <c r="C13" s="23"/>
      <c r="D13" s="42">
        <f>CommonExpenses(Sammendrag!B13,Fellesutgifter!$E$7:$E$100,Fellesutgifter!$F$7:$F$100,Fordelingsnøkler!$B$2:$O$49)</f>
        <v>0</v>
      </c>
      <c r="E13" s="42">
        <f t="array" aca="1" ref="E13" ca="1">SUM(IF(MOD(ROW(OFFSET('P2P-utgifter'!D$5:D$100,0,ROW()-5)),2)=0,OFFSET('P2P-utgifter'!D$5:D$100,0,ROW()-5),0))</f>
        <v>0</v>
      </c>
      <c r="F13" s="14">
        <f t="shared" ca="1" si="0"/>
        <v>0</v>
      </c>
      <c r="G13" s="42">
        <f>SUMIFS(Fellesutgifter!$E$7:$E$100,Fellesutgifter!$D$7:$D$100,Sammendrag!B13)</f>
        <v>0</v>
      </c>
      <c r="H13" s="42">
        <f t="array" aca="1" ref="H13" ca="1">SUM(IF(MOD(ROW(OFFSET('P2P-utgifter'!D$5:D$100,0,ROW()-5)),2)&lt;&gt;0,OFFSET('P2P-utgifter'!D$5:D$100,0,ROW()-5),0))</f>
        <v>0</v>
      </c>
      <c r="I13" s="15">
        <f t="shared" ca="1" si="1"/>
        <v>0</v>
      </c>
      <c r="J13" s="15">
        <f t="shared" ca="1" si="2"/>
        <v>0</v>
      </c>
      <c r="K13" s="42"/>
    </row>
    <row r="14" spans="2:12" x14ac:dyDescent="0.3">
      <c r="B14" s="25" t="str">
        <f>IF(Deltagere!A10&gt;0,Deltagere!A10,"")</f>
        <v/>
      </c>
      <c r="C14" s="23"/>
      <c r="D14" s="42">
        <f>CommonExpenses(Sammendrag!B14,Fellesutgifter!$E$7:$E$100,Fellesutgifter!$F$7:$F$100,Fordelingsnøkler!$B$2:$O$49)</f>
        <v>0</v>
      </c>
      <c r="E14" s="42">
        <f t="array" aca="1" ref="E14" ca="1">SUM(IF(MOD(ROW(OFFSET('P2P-utgifter'!D$5:D$100,0,ROW()-5)),2)=0,OFFSET('P2P-utgifter'!D$5:D$100,0,ROW()-5),0))</f>
        <v>0</v>
      </c>
      <c r="F14" s="14">
        <f t="shared" ca="1" si="0"/>
        <v>0</v>
      </c>
      <c r="G14" s="42">
        <f>SUMIFS(Fellesutgifter!$E$7:$E$100,Fellesutgifter!$D$7:$D$100,Sammendrag!B14)</f>
        <v>0</v>
      </c>
      <c r="H14" s="42">
        <f t="array" aca="1" ref="H14" ca="1">SUM(IF(MOD(ROW(OFFSET('P2P-utgifter'!D$5:D$100,0,ROW()-5)),2)&lt;&gt;0,OFFSET('P2P-utgifter'!D$5:D$100,0,ROW()-5),0))</f>
        <v>0</v>
      </c>
      <c r="I14" s="15">
        <f t="shared" ca="1" si="1"/>
        <v>0</v>
      </c>
      <c r="J14" s="15">
        <f t="shared" ca="1" si="2"/>
        <v>0</v>
      </c>
    </row>
    <row r="15" spans="2:12" x14ac:dyDescent="0.3">
      <c r="B15" s="25" t="str">
        <f>IF(Deltagere!A11&gt;0,Deltagere!A11,"")</f>
        <v/>
      </c>
      <c r="C15" s="23"/>
      <c r="D15" s="42">
        <f>CommonExpenses(Sammendrag!B15,Fellesutgifter!$E$7:$E$100,Fellesutgifter!$F$7:$F$100,Fordelingsnøkler!$B$2:$O$49)</f>
        <v>0</v>
      </c>
      <c r="E15" s="42">
        <f t="array" aca="1" ref="E15" ca="1">SUM(IF(MOD(ROW(OFFSET('P2P-utgifter'!D$5:D$100,0,ROW()-5)),2)=0,OFFSET('P2P-utgifter'!D$5:D$100,0,ROW()-5),0))</f>
        <v>0</v>
      </c>
      <c r="F15" s="14">
        <f t="shared" ca="1" si="0"/>
        <v>0</v>
      </c>
      <c r="G15" s="42">
        <f>SUMIFS(Fellesutgifter!$E$7:$E$100,Fellesutgifter!$D$7:$D$100,Sammendrag!B15)</f>
        <v>0</v>
      </c>
      <c r="H15" s="42">
        <f t="array" aca="1" ref="H15" ca="1">SUM(IF(MOD(ROW(OFFSET('P2P-utgifter'!D$5:D$100,0,ROW()-5)),2)&lt;&gt;0,OFFSET('P2P-utgifter'!D$5:D$100,0,ROW()-5),0))</f>
        <v>0</v>
      </c>
      <c r="I15" s="15">
        <f t="shared" ca="1" si="1"/>
        <v>0</v>
      </c>
      <c r="J15" s="15">
        <f t="shared" ca="1" si="2"/>
        <v>0</v>
      </c>
    </row>
    <row r="16" spans="2:12" x14ac:dyDescent="0.3">
      <c r="B16" s="25" t="str">
        <f>IF(Deltagere!A12&gt;0,Deltagere!A12,"")</f>
        <v/>
      </c>
      <c r="C16" s="23"/>
      <c r="D16" s="42">
        <f>CommonExpenses(Sammendrag!B16,Fellesutgifter!$E$7:$E$100,Fellesutgifter!$F$7:$F$100,Fordelingsnøkler!$B$2:$O$49)</f>
        <v>0</v>
      </c>
      <c r="E16" s="42">
        <f t="array" aca="1" ref="E16" ca="1">SUM(IF(MOD(ROW(OFFSET('P2P-utgifter'!D$5:D$100,0,ROW()-5)),2)=0,OFFSET('P2P-utgifter'!D$5:D$100,0,ROW()-5),0))</f>
        <v>0</v>
      </c>
      <c r="F16" s="14">
        <f t="shared" ca="1" si="0"/>
        <v>0</v>
      </c>
      <c r="G16" s="42">
        <f>SUMIFS(Fellesutgifter!$E$7:$E$100,Fellesutgifter!$D$7:$D$100,Sammendrag!B16)</f>
        <v>0</v>
      </c>
      <c r="H16" s="42">
        <f t="array" aca="1" ref="H16" ca="1">SUM(IF(MOD(ROW(OFFSET('P2P-utgifter'!D$5:D$100,0,ROW()-5)),2)&lt;&gt;0,OFFSET('P2P-utgifter'!D$5:D$100,0,ROW()-5),0))</f>
        <v>0</v>
      </c>
      <c r="I16" s="15">
        <f t="shared" ca="1" si="1"/>
        <v>0</v>
      </c>
      <c r="J16" s="15">
        <f t="shared" ca="1" si="2"/>
        <v>0</v>
      </c>
    </row>
    <row r="17" spans="2:12" x14ac:dyDescent="0.3">
      <c r="B17" s="25" t="str">
        <f>IF(Deltagere!A13&gt;0,Deltagere!A13,"")</f>
        <v/>
      </c>
      <c r="C17" s="23"/>
      <c r="D17" s="42">
        <f>CommonExpenses(Sammendrag!B17,Fellesutgifter!$E$7:$E$100,Fellesutgifter!$F$7:$F$100,Fordelingsnøkler!$B$2:$O$49)</f>
        <v>0</v>
      </c>
      <c r="E17" s="42">
        <f t="array" aca="1" ref="E17" ca="1">SUM(IF(MOD(ROW(OFFSET('P2P-utgifter'!D$5:D$100,0,ROW()-5)),2)=0,OFFSET('P2P-utgifter'!D$5:D$100,0,ROW()-5),0))</f>
        <v>0</v>
      </c>
      <c r="F17" s="14">
        <f t="shared" ca="1" si="0"/>
        <v>0</v>
      </c>
      <c r="G17" s="42">
        <f>SUMIFS(Fellesutgifter!$E$7:$E$100,Fellesutgifter!$D$7:$D$100,Sammendrag!B17)</f>
        <v>0</v>
      </c>
      <c r="H17" s="42">
        <f t="array" aca="1" ref="H17" ca="1">SUM(IF(MOD(ROW(OFFSET('P2P-utgifter'!D$5:D$100,0,ROW()-5)),2)&lt;&gt;0,OFFSET('P2P-utgifter'!D$5:D$100,0,ROW()-5),0))</f>
        <v>0</v>
      </c>
      <c r="I17" s="15">
        <f t="shared" ca="1" si="1"/>
        <v>0</v>
      </c>
      <c r="J17" s="15">
        <f t="shared" ca="1" si="2"/>
        <v>0</v>
      </c>
      <c r="K17" s="42"/>
      <c r="L17" s="42"/>
    </row>
    <row r="18" spans="2:12" x14ac:dyDescent="0.3">
      <c r="B18" s="25" t="str">
        <f>IF(Deltagere!A14&gt;0,Deltagere!A14,"")</f>
        <v/>
      </c>
      <c r="C18" s="23"/>
      <c r="D18" s="42">
        <f>CommonExpenses(Sammendrag!B18,Fellesutgifter!$E$7:$E$100,Fellesutgifter!$F$7:$F$100,Fordelingsnøkler!$B$2:$O$49)</f>
        <v>0</v>
      </c>
      <c r="E18" s="42">
        <f t="array" aca="1" ref="E18" ca="1">SUM(IF(MOD(ROW(OFFSET('P2P-utgifter'!D$5:D$100,0,ROW()-5)),2)=0,OFFSET('P2P-utgifter'!D$5:D$100,0,ROW()-5),0))</f>
        <v>0</v>
      </c>
      <c r="F18" s="14">
        <f t="shared" ca="1" si="0"/>
        <v>0</v>
      </c>
      <c r="G18" s="42">
        <f>SUMIFS(Fellesutgifter!$E$7:$E$100,Fellesutgifter!$D$7:$D$100,Sammendrag!B18)</f>
        <v>0</v>
      </c>
      <c r="H18" s="42">
        <f t="array" aca="1" ref="H18" ca="1">SUM(IF(MOD(ROW(OFFSET('P2P-utgifter'!D$5:D$100,0,ROW()-5)),2)&lt;&gt;0,OFFSET('P2P-utgifter'!D$5:D$100,0,ROW()-5),0))</f>
        <v>0</v>
      </c>
      <c r="I18" s="15">
        <f t="shared" ca="1" si="1"/>
        <v>0</v>
      </c>
      <c r="J18" s="15">
        <f t="shared" ca="1" si="2"/>
        <v>0</v>
      </c>
      <c r="K18" s="42"/>
      <c r="L18" s="42"/>
    </row>
    <row r="19" spans="2:12" x14ac:dyDescent="0.3">
      <c r="B19" s="25" t="str">
        <f>IF(Deltagere!A15&gt;0,Deltagere!A15,"")</f>
        <v/>
      </c>
      <c r="C19" s="23"/>
      <c r="D19" s="42">
        <f>CommonExpenses(Sammendrag!B19,Fellesutgifter!$E$7:$E$100,Fellesutgifter!$F$7:$F$100,Fordelingsnøkler!$B$2:$O$49)</f>
        <v>0</v>
      </c>
      <c r="E19" s="42">
        <f t="array" aca="1" ref="E19" ca="1">SUM(IF(MOD(ROW(OFFSET('P2P-utgifter'!D$5:D$100,0,ROW()-5)),2)=0,OFFSET('P2P-utgifter'!D$5:D$100,0,ROW()-5),0))</f>
        <v>0</v>
      </c>
      <c r="F19" s="14">
        <f t="shared" ca="1" si="0"/>
        <v>0</v>
      </c>
      <c r="G19" s="42">
        <f>SUMIFS(Fellesutgifter!$E$7:$E$100,Fellesutgifter!$D$7:$D$100,Sammendrag!B19)</f>
        <v>0</v>
      </c>
      <c r="H19" s="42">
        <f t="array" aca="1" ref="H19" ca="1">SUM(IF(MOD(ROW(OFFSET('P2P-utgifter'!D$5:D$100,0,ROW()-5)),2)&lt;&gt;0,OFFSET('P2P-utgifter'!D$5:D$100,0,ROW()-5),0))</f>
        <v>0</v>
      </c>
      <c r="I19" s="15">
        <f t="shared" ca="1" si="1"/>
        <v>0</v>
      </c>
      <c r="J19" s="15">
        <f t="shared" ca="1" si="2"/>
        <v>0</v>
      </c>
      <c r="K19" s="42"/>
      <c r="L19" s="42"/>
    </row>
    <row r="20" spans="2:12" x14ac:dyDescent="0.3">
      <c r="B20" s="25" t="str">
        <f>IF(Deltagere!A16&gt;0,Deltagere!A16,"")</f>
        <v/>
      </c>
      <c r="C20" s="23"/>
      <c r="D20" s="42">
        <f>CommonExpenses(Sammendrag!B20,Fellesutgifter!$E$7:$E$100,Fellesutgifter!$F$7:$F$100,Fordelingsnøkler!$B$2:$O$49)</f>
        <v>0</v>
      </c>
      <c r="E20" s="42">
        <f t="array" aca="1" ref="E20" ca="1">SUM(IF(MOD(ROW(OFFSET('P2P-utgifter'!D$5:D$100,0,ROW()-5)),2)=0,OFFSET('P2P-utgifter'!D$5:D$100,0,ROW()-5),0))</f>
        <v>0</v>
      </c>
      <c r="F20" s="14">
        <f t="shared" ca="1" si="0"/>
        <v>0</v>
      </c>
      <c r="G20" s="42">
        <f>SUMIFS(Fellesutgifter!$E$7:$E$100,Fellesutgifter!$D$7:$D$100,Sammendrag!B20)</f>
        <v>0</v>
      </c>
      <c r="H20" s="42">
        <f t="array" aca="1" ref="H20" ca="1">SUM(IF(MOD(ROW(OFFSET('P2P-utgifter'!D$5:D$100,0,ROW()-5)),2)&lt;&gt;0,OFFSET('P2P-utgifter'!D$5:D$100,0,ROW()-5),0))</f>
        <v>0</v>
      </c>
      <c r="I20" s="15">
        <f t="shared" ca="1" si="1"/>
        <v>0</v>
      </c>
      <c r="J20" s="15">
        <f t="shared" ca="1" si="2"/>
        <v>0</v>
      </c>
      <c r="K20" s="42"/>
      <c r="L20" s="42"/>
    </row>
    <row r="21" spans="2:12" x14ac:dyDescent="0.3">
      <c r="B21" s="25" t="str">
        <f>IF(Deltagere!A17&gt;0,Deltagere!A17,"")</f>
        <v/>
      </c>
      <c r="C21" s="23"/>
      <c r="D21" s="42">
        <f>CommonExpenses(Sammendrag!B21,Fellesutgifter!$E$7:$E$100,Fellesutgifter!$F$7:$F$100,Fordelingsnøkler!$B$2:$O$49)</f>
        <v>0</v>
      </c>
      <c r="E21" s="42">
        <f t="array" aca="1" ref="E21" ca="1">SUM(IF(MOD(ROW(OFFSET('P2P-utgifter'!D$5:D$100,0,ROW()-5)),2)=0,OFFSET('P2P-utgifter'!D$5:D$100,0,ROW()-5),0))</f>
        <v>0</v>
      </c>
      <c r="F21" s="14">
        <f t="shared" ca="1" si="0"/>
        <v>0</v>
      </c>
      <c r="G21" s="42">
        <f>SUMIFS(Fellesutgifter!$E$7:$E$100,Fellesutgifter!$D$7:$D$100,Sammendrag!B21)</f>
        <v>0</v>
      </c>
      <c r="H21" s="42">
        <f t="array" aca="1" ref="H21" ca="1">SUM(IF(MOD(ROW(OFFSET('P2P-utgifter'!D$5:D$100,0,ROW()-5)),2)&lt;&gt;0,OFFSET('P2P-utgifter'!D$5:D$100,0,ROW()-5),0))</f>
        <v>0</v>
      </c>
      <c r="I21" s="15">
        <f t="shared" ca="1" si="1"/>
        <v>0</v>
      </c>
      <c r="J21" s="15">
        <f t="shared" ca="1" si="2"/>
        <v>0</v>
      </c>
      <c r="K21" s="42"/>
      <c r="L21" s="42"/>
    </row>
    <row r="22" spans="2:12" x14ac:dyDescent="0.3">
      <c r="B22" s="25" t="str">
        <f>IF(Deltagere!A18&gt;0,Deltagere!A18,"")</f>
        <v/>
      </c>
      <c r="C22" s="23"/>
      <c r="D22" s="42">
        <f>CommonExpenses(Sammendrag!B22,Fellesutgifter!$E$7:$E$100,Fellesutgifter!$F$7:$F$100,Fordelingsnøkler!$B$2:$O$49)</f>
        <v>0</v>
      </c>
      <c r="E22" s="42">
        <f t="array" aca="1" ref="E22" ca="1">SUM(IF(MOD(ROW(OFFSET('P2P-utgifter'!D$5:D$100,0,ROW()-5)),2)=0,OFFSET('P2P-utgifter'!D$5:D$100,0,ROW()-5),0))</f>
        <v>0</v>
      </c>
      <c r="F22" s="14">
        <f t="shared" ca="1" si="0"/>
        <v>0</v>
      </c>
      <c r="G22" s="42">
        <f>SUMIFS(Fellesutgifter!$E$7:$E$100,Fellesutgifter!$D$7:$D$100,Sammendrag!B22)</f>
        <v>0</v>
      </c>
      <c r="H22" s="42">
        <f t="array" aca="1" ref="H22" ca="1">SUM(IF(MOD(ROW(OFFSET('P2P-utgifter'!D$5:D$100,0,ROW()-5)),2)&lt;&gt;0,OFFSET('P2P-utgifter'!D$5:D$100,0,ROW()-5),0))</f>
        <v>0</v>
      </c>
      <c r="I22" s="15">
        <f t="shared" ca="1" si="1"/>
        <v>0</v>
      </c>
      <c r="J22" s="15">
        <f t="shared" ca="1" si="2"/>
        <v>0</v>
      </c>
      <c r="K22" s="42"/>
      <c r="L22" s="42"/>
    </row>
    <row r="23" spans="2:12" x14ac:dyDescent="0.3">
      <c r="B23" s="25" t="str">
        <f>IF(Deltagere!A19&gt;0,Deltagere!A19,"")</f>
        <v/>
      </c>
      <c r="C23" s="23"/>
      <c r="D23" s="42">
        <f>CommonExpenses(Sammendrag!B23,Fellesutgifter!$E$7:$E$100,Fellesutgifter!$F$7:$F$100,Fordelingsnøkler!$B$2:$O$49)</f>
        <v>0</v>
      </c>
      <c r="E23" s="42">
        <f t="array" aca="1" ref="E23" ca="1">SUM(IF(MOD(ROW(OFFSET('P2P-utgifter'!D$5:D$100,0,ROW()-5)),2)=0,OFFSET('P2P-utgifter'!D$5:D$100,0,ROW()-5),0))</f>
        <v>0</v>
      </c>
      <c r="F23" s="14">
        <f t="shared" ca="1" si="0"/>
        <v>0</v>
      </c>
      <c r="G23" s="42">
        <f>SUMIFS(Fellesutgifter!$E$7:$E$100,Fellesutgifter!$D$7:$D$100,Sammendrag!B23)</f>
        <v>0</v>
      </c>
      <c r="H23" s="42">
        <f t="array" aca="1" ref="H23" ca="1">SUM(IF(MOD(ROW(OFFSET('P2P-utgifter'!D$5:D$100,0,ROW()-5)),2)&lt;&gt;0,OFFSET('P2P-utgifter'!D$5:D$100,0,ROW()-5),0))</f>
        <v>0</v>
      </c>
      <c r="I23" s="15">
        <f t="shared" ca="1" si="1"/>
        <v>0</v>
      </c>
      <c r="J23" s="15">
        <f t="shared" ca="1" si="2"/>
        <v>0</v>
      </c>
      <c r="K23" s="42"/>
      <c r="L23" s="42"/>
    </row>
    <row r="24" spans="2:12" x14ac:dyDescent="0.3">
      <c r="B24" s="25" t="str">
        <f>IF(Deltagere!A20&gt;0,Deltagere!A20,"")</f>
        <v/>
      </c>
      <c r="C24" s="23"/>
      <c r="D24" s="42">
        <f>CommonExpenses(Sammendrag!B24,Fellesutgifter!$E$7:$E$100,Fellesutgifter!$F$7:$F$100,Fordelingsnøkler!$B$2:$O$49)</f>
        <v>0</v>
      </c>
      <c r="E24" s="42">
        <f t="array" aca="1" ref="E24" ca="1">SUM(IF(MOD(ROW(OFFSET('P2P-utgifter'!D$5:D$100,0,ROW()-5)),2)=0,OFFSET('P2P-utgifter'!D$5:D$100,0,ROW()-5),0))</f>
        <v>0</v>
      </c>
      <c r="F24" s="14">
        <f t="shared" ca="1" si="0"/>
        <v>0</v>
      </c>
      <c r="G24" s="42">
        <f>SUMIFS(Fellesutgifter!$E$7:$E$100,Fellesutgifter!$D$7:$D$100,Sammendrag!B24)</f>
        <v>0</v>
      </c>
      <c r="H24" s="42">
        <f t="array" aca="1" ref="H24" ca="1">SUM(IF(MOD(ROW(OFFSET('P2P-utgifter'!D$5:D$100,0,ROW()-5)),2)&lt;&gt;0,OFFSET('P2P-utgifter'!D$5:D$100,0,ROW()-5),0))</f>
        <v>0</v>
      </c>
      <c r="I24" s="15">
        <f t="shared" ca="1" si="1"/>
        <v>0</v>
      </c>
      <c r="J24" s="15">
        <f t="shared" ca="1" si="2"/>
        <v>0</v>
      </c>
      <c r="K24" s="42"/>
      <c r="L24" s="42"/>
    </row>
    <row r="25" spans="2:12" x14ac:dyDescent="0.3">
      <c r="B25" s="25" t="str">
        <f>IF(Deltagere!A21&gt;0,Deltagere!A21,"")</f>
        <v/>
      </c>
      <c r="C25" s="24"/>
      <c r="D25" s="42">
        <f>CommonExpenses(Sammendrag!B25,Fellesutgifter!$E$7:$E$100,Fellesutgifter!$F$7:$F$100,Fordelingsnøkler!$B$2:$O$49)</f>
        <v>0</v>
      </c>
      <c r="E25" s="42">
        <f t="array" aca="1" ref="E25" ca="1">SUM(IF(MOD(ROW(OFFSET('P2P-utgifter'!D$5:D$100,0,ROW()-5)),2)=0,OFFSET('P2P-utgifter'!D$5:D$100,0,ROW()-5),0))</f>
        <v>0</v>
      </c>
      <c r="F25" s="14">
        <f t="shared" ca="1" si="0"/>
        <v>0</v>
      </c>
      <c r="G25" s="42">
        <f>SUMIFS(Fellesutgifter!$E$7:$E$100,Fellesutgifter!$D$7:$D$100,Sammendrag!B25)</f>
        <v>0</v>
      </c>
      <c r="H25" s="42">
        <f t="array" aca="1" ref="H25" ca="1">SUM(IF(MOD(ROW(OFFSET('P2P-utgifter'!D$5:D$100,0,ROW()-5)),2)&lt;&gt;0,OFFSET('P2P-utgifter'!D$5:D$100,0,ROW()-5),0))</f>
        <v>0</v>
      </c>
      <c r="I25" s="15">
        <f t="shared" ca="1" si="1"/>
        <v>0</v>
      </c>
      <c r="J25" s="15">
        <f t="shared" ca="1" si="2"/>
        <v>0</v>
      </c>
      <c r="K25" s="42"/>
      <c r="L25" s="42"/>
    </row>
    <row r="26" spans="2:12" x14ac:dyDescent="0.3">
      <c r="B26" s="25" t="str">
        <f>IF(Deltagere!A22&gt;0,Deltagere!A22,"")</f>
        <v/>
      </c>
      <c r="C26" s="24"/>
      <c r="D26" s="42">
        <f>CommonExpenses(Sammendrag!B26,Fellesutgifter!$E$7:$E$100,Fellesutgifter!$F$7:$F$100,Fordelingsnøkler!$B$2:$O$49)</f>
        <v>0</v>
      </c>
      <c r="E26" s="42">
        <f t="array" aca="1" ref="E26" ca="1">SUM(IF(MOD(ROW(OFFSET('P2P-utgifter'!D$5:D$100,0,ROW()-5)),2)=0,OFFSET('P2P-utgifter'!D$5:D$100,0,ROW()-5),0))</f>
        <v>0</v>
      </c>
      <c r="F26" s="14">
        <f t="shared" ca="1" si="0"/>
        <v>0</v>
      </c>
      <c r="G26" s="42">
        <f>SUMIFS(Fellesutgifter!$E$7:$E$100,Fellesutgifter!$D$7:$D$100,Sammendrag!B26)</f>
        <v>0</v>
      </c>
      <c r="H26" s="42">
        <f t="array" aca="1" ref="H26" ca="1">SUM(IF(MOD(ROW(OFFSET('P2P-utgifter'!D$5:D$100,0,ROW()-5)),2)&lt;&gt;0,OFFSET('P2P-utgifter'!D$5:D$100,0,ROW()-5),0))</f>
        <v>0</v>
      </c>
      <c r="I26" s="15">
        <f t="shared" ca="1" si="1"/>
        <v>0</v>
      </c>
      <c r="J26" s="15">
        <f t="shared" ca="1" si="2"/>
        <v>0</v>
      </c>
      <c r="K26" s="42"/>
      <c r="L26" s="42"/>
    </row>
    <row r="27" spans="2:12" x14ac:dyDescent="0.3">
      <c r="B27" s="25" t="str">
        <f>IF(Deltagere!A23&gt;0,Deltagere!A23,"")</f>
        <v/>
      </c>
      <c r="C27" s="23"/>
      <c r="D27" s="42">
        <f>CommonExpenses(Sammendrag!B27,Fellesutgifter!$E$7:$E$100,Fellesutgifter!$F$7:$F$100,Fordelingsnøkler!$B$2:$O$49)</f>
        <v>0</v>
      </c>
      <c r="E27" s="42">
        <f t="array" aca="1" ref="E27" ca="1">SUM(IF(MOD(ROW(OFFSET('P2P-utgifter'!D$5:D$100,0,ROW()-5)),2)=0,OFFSET('P2P-utgifter'!D$5:D$100,0,ROW()-5),0))</f>
        <v>0</v>
      </c>
      <c r="F27" s="14">
        <f t="shared" ca="1" si="0"/>
        <v>0</v>
      </c>
      <c r="G27" s="42">
        <f>SUMIFS(Fellesutgifter!$E$7:$E$100,Fellesutgifter!$D$7:$D$100,Sammendrag!B27)</f>
        <v>0</v>
      </c>
      <c r="H27" s="42">
        <f t="array" aca="1" ref="H27" ca="1">SUM(IF(MOD(ROW(OFFSET('P2P-utgifter'!D$5:D$100,0,ROW()-5)),2)&lt;&gt;0,OFFSET('P2P-utgifter'!D$5:D$100,0,ROW()-5),0))</f>
        <v>0</v>
      </c>
      <c r="I27" s="15">
        <f t="shared" ca="1" si="1"/>
        <v>0</v>
      </c>
      <c r="J27" s="15">
        <f t="shared" ca="1" si="2"/>
        <v>0</v>
      </c>
    </row>
    <row r="28" spans="2:12" x14ac:dyDescent="0.3">
      <c r="B28" s="25" t="str">
        <f>IF(Deltagere!A24&gt;0,Deltagere!A24,"")</f>
        <v/>
      </c>
      <c r="C28" s="23"/>
      <c r="D28" s="42">
        <f>CommonExpenses(Sammendrag!B28,Fellesutgifter!$E$7:$E$100,Fellesutgifter!$F$7:$F$100,Fordelingsnøkler!$B$2:$O$49)</f>
        <v>0</v>
      </c>
      <c r="E28" s="42">
        <f t="array" aca="1" ref="E28" ca="1">SUM(IF(MOD(ROW(OFFSET('P2P-utgifter'!D$5:D$100,0,ROW()-5)),2)=0,OFFSET('P2P-utgifter'!D$5:D$100,0,ROW()-5),0))</f>
        <v>0</v>
      </c>
      <c r="F28" s="14">
        <f t="shared" ca="1" si="0"/>
        <v>0</v>
      </c>
      <c r="G28" s="42">
        <f>SUMIFS(Fellesutgifter!$E$7:$E$100,Fellesutgifter!$D$7:$D$100,Sammendrag!B28)</f>
        <v>0</v>
      </c>
      <c r="H28" s="42">
        <f t="array" aca="1" ref="H28" ca="1">SUM(IF(MOD(ROW(OFFSET('P2P-utgifter'!D$5:D$100,0,ROW()-5)),2)&lt;&gt;0,OFFSET('P2P-utgifter'!D$5:D$100,0,ROW()-5),0))</f>
        <v>0</v>
      </c>
      <c r="I28" s="15">
        <f t="shared" ca="1" si="1"/>
        <v>0</v>
      </c>
      <c r="J28" s="15">
        <f t="shared" ca="1" si="2"/>
        <v>0</v>
      </c>
    </row>
    <row r="29" spans="2:12" x14ac:dyDescent="0.3">
      <c r="B29" s="25" t="str">
        <f>IF(Deltagere!A25&gt;0,Deltagere!A25,"")</f>
        <v/>
      </c>
      <c r="C29" s="23"/>
      <c r="D29" s="42">
        <f>CommonExpenses(Sammendrag!B29,Fellesutgifter!$E$7:$E$100,Fellesutgifter!$F$7:$F$100,Fordelingsnøkler!$B$2:$O$49)</f>
        <v>0</v>
      </c>
      <c r="E29" s="42">
        <f t="array" aca="1" ref="E29" ca="1">SUM(IF(MOD(ROW(OFFSET('P2P-utgifter'!D$5:D$100,0,ROW()-5)),2)=0,OFFSET('P2P-utgifter'!D$5:D$100,0,ROW()-5),0))</f>
        <v>0</v>
      </c>
      <c r="F29" s="14">
        <f t="shared" ca="1" si="0"/>
        <v>0</v>
      </c>
      <c r="G29" s="42">
        <f>SUMIFS(Fellesutgifter!$E$7:$E$100,Fellesutgifter!$D$7:$D$100,Sammendrag!B29)</f>
        <v>0</v>
      </c>
      <c r="H29" s="42">
        <f t="array" aca="1" ref="H29" ca="1">SUM(IF(MOD(ROW(OFFSET('P2P-utgifter'!D$5:D$100,0,ROW()-5)),2)&lt;&gt;0,OFFSET('P2P-utgifter'!D$5:D$100,0,ROW()-5),0))</f>
        <v>0</v>
      </c>
      <c r="I29" s="15">
        <f t="shared" ca="1" si="1"/>
        <v>0</v>
      </c>
      <c r="J29" s="15">
        <f t="shared" ca="1" si="2"/>
        <v>0</v>
      </c>
    </row>
    <row r="30" spans="2:12" x14ac:dyDescent="0.3">
      <c r="B30" s="25" t="str">
        <f>IF(Deltagere!A26&gt;0,Deltagere!A26,"")</f>
        <v/>
      </c>
      <c r="C30" s="23"/>
      <c r="D30" s="42">
        <f>CommonExpenses(Sammendrag!B30,Fellesutgifter!$E$7:$E$100,Fellesutgifter!$F$7:$F$100,Fordelingsnøkler!$B$2:$O$49)</f>
        <v>0</v>
      </c>
      <c r="E30" s="42">
        <f t="array" aca="1" ref="E30" ca="1">SUM(IF(MOD(ROW(OFFSET('P2P-utgifter'!D$5:D$100,0,ROW()-5)),2)=0,OFFSET('P2P-utgifter'!D$5:D$100,0,ROW()-5),0))</f>
        <v>0</v>
      </c>
      <c r="F30" s="14">
        <f t="shared" ca="1" si="0"/>
        <v>0</v>
      </c>
      <c r="G30" s="42">
        <f>SUMIFS(Fellesutgifter!$E$7:$E$100,Fellesutgifter!$D$7:$D$100,Sammendrag!B30)</f>
        <v>0</v>
      </c>
      <c r="H30" s="42">
        <f t="array" aca="1" ref="H30" ca="1">SUM(IF(MOD(ROW(OFFSET('P2P-utgifter'!D$5:D$100,0,ROW()-5)),2)&lt;&gt;0,OFFSET('P2P-utgifter'!D$5:D$100,0,ROW()-5),0))</f>
        <v>0</v>
      </c>
      <c r="I30" s="15">
        <f t="shared" ca="1" si="1"/>
        <v>0</v>
      </c>
      <c r="J30" s="15">
        <f t="shared" ca="1" si="2"/>
        <v>0</v>
      </c>
    </row>
    <row r="31" spans="2:12" x14ac:dyDescent="0.3">
      <c r="B31" s="25" t="str">
        <f>IF(Deltagere!A27&gt;0,Deltagere!A27,"")</f>
        <v/>
      </c>
      <c r="C31" s="23"/>
      <c r="D31" s="42">
        <f>CommonExpenses(Sammendrag!B31,Fellesutgifter!$E$7:$E$100,Fellesutgifter!$F$7:$F$100,Fordelingsnøkler!$B$2:$O$49)</f>
        <v>0</v>
      </c>
      <c r="E31" s="42">
        <f t="array" aca="1" ref="E31" ca="1">SUM(IF(MOD(ROW(OFFSET('P2P-utgifter'!D$5:D$100,0,ROW()-5)),2)=0,OFFSET('P2P-utgifter'!D$5:D$100,0,ROW()-5),0))</f>
        <v>0</v>
      </c>
      <c r="F31" s="14">
        <f t="shared" ca="1" si="0"/>
        <v>0</v>
      </c>
      <c r="G31" s="42">
        <f>SUMIFS(Fellesutgifter!$E$7:$E$100,Fellesutgifter!$D$7:$D$100,Sammendrag!B31)</f>
        <v>0</v>
      </c>
      <c r="H31" s="42">
        <f t="array" aca="1" ref="H31" ca="1">SUM(IF(MOD(ROW(OFFSET('P2P-utgifter'!D$5:D$100,0,ROW()-5)),2)&lt;&gt;0,OFFSET('P2P-utgifter'!D$5:D$100,0,ROW()-5),0))</f>
        <v>0</v>
      </c>
      <c r="I31" s="15">
        <f t="shared" ca="1" si="1"/>
        <v>0</v>
      </c>
      <c r="J31" s="15">
        <f t="shared" ca="1" si="2"/>
        <v>0</v>
      </c>
    </row>
    <row r="32" spans="2:12" x14ac:dyDescent="0.3">
      <c r="B32" s="25" t="str">
        <f>IF(Deltagere!A28&gt;0,Deltagere!A28,"")</f>
        <v/>
      </c>
      <c r="C32" s="23"/>
      <c r="D32" s="42">
        <f>CommonExpenses(Sammendrag!B32,Fellesutgifter!$E$7:$E$100,Fellesutgifter!$F$7:$F$100,Fordelingsnøkler!$B$2:$O$49)</f>
        <v>0</v>
      </c>
      <c r="E32" s="42">
        <f t="array" aca="1" ref="E32" ca="1">SUM(IF(MOD(ROW(OFFSET('P2P-utgifter'!D$5:D$100,0,ROW()-5)),2)=0,OFFSET('P2P-utgifter'!D$5:D$100,0,ROW()-5),0))</f>
        <v>0</v>
      </c>
      <c r="F32" s="14">
        <f t="shared" ca="1" si="0"/>
        <v>0</v>
      </c>
      <c r="G32" s="42">
        <f>SUMIFS(Fellesutgifter!$E$7:$E$100,Fellesutgifter!$D$7:$D$100,Sammendrag!B32)</f>
        <v>0</v>
      </c>
      <c r="H32" s="42">
        <f t="array" aca="1" ref="H32" ca="1">SUM(IF(MOD(ROW(OFFSET('P2P-utgifter'!D$5:D$100,0,ROW()-5)),2)&lt;&gt;0,OFFSET('P2P-utgifter'!D$5:D$100,0,ROW()-5),0))</f>
        <v>0</v>
      </c>
      <c r="I32" s="15">
        <f t="shared" ca="1" si="1"/>
        <v>0</v>
      </c>
      <c r="J32" s="15">
        <f t="shared" ca="1" si="2"/>
        <v>0</v>
      </c>
    </row>
    <row r="33" spans="2:10" x14ac:dyDescent="0.3">
      <c r="B33" s="25" t="str">
        <f>IF(Deltagere!A29&gt;0,Deltagere!A29,"")</f>
        <v/>
      </c>
      <c r="C33" s="23"/>
      <c r="D33" s="42">
        <f>CommonExpenses(Sammendrag!B33,Fellesutgifter!$E$7:$E$100,Fellesutgifter!$F$7:$F$100,Fordelingsnøkler!$B$2:$O$49)</f>
        <v>0</v>
      </c>
      <c r="E33" s="42">
        <f t="array" aca="1" ref="E33" ca="1">SUM(IF(MOD(ROW(OFFSET('P2P-utgifter'!D$5:D$100,0,ROW()-5)),2)=0,OFFSET('P2P-utgifter'!D$5:D$100,0,ROW()-5),0))</f>
        <v>0</v>
      </c>
      <c r="F33" s="14">
        <f t="shared" ca="1" si="0"/>
        <v>0</v>
      </c>
      <c r="G33" s="42">
        <f>SUMIFS(Fellesutgifter!$E$7:$E$100,Fellesutgifter!$D$7:$D$100,Sammendrag!B33)</f>
        <v>0</v>
      </c>
      <c r="H33" s="42">
        <f t="array" aca="1" ref="H33" ca="1">SUM(IF(MOD(ROW(OFFSET('P2P-utgifter'!D$5:D$100,0,ROW()-5)),2)&lt;&gt;0,OFFSET('P2P-utgifter'!D$5:D$100,0,ROW()-5),0))</f>
        <v>0</v>
      </c>
      <c r="I33" s="15">
        <f t="shared" ca="1" si="1"/>
        <v>0</v>
      </c>
      <c r="J33" s="15">
        <f t="shared" ca="1" si="2"/>
        <v>0</v>
      </c>
    </row>
    <row r="34" spans="2:10" x14ac:dyDescent="0.3">
      <c r="B34" s="25" t="str">
        <f>IF(Deltagere!A30&gt;0,Deltagere!A30,"")</f>
        <v/>
      </c>
      <c r="C34" s="23"/>
      <c r="D34" s="42">
        <f>CommonExpenses(Sammendrag!B34,Fellesutgifter!$E$7:$E$100,Fellesutgifter!$F$7:$F$100,Fordelingsnøkler!$B$2:$O$49)</f>
        <v>0</v>
      </c>
      <c r="E34" s="42">
        <f t="array" aca="1" ref="E34" ca="1">SUM(IF(MOD(ROW(OFFSET('P2P-utgifter'!D$5:D$100,0,ROW()-5)),2)=0,OFFSET('P2P-utgifter'!D$5:D$100,0,ROW()-5),0))</f>
        <v>0</v>
      </c>
      <c r="F34" s="14">
        <f t="shared" ca="1" si="0"/>
        <v>0</v>
      </c>
      <c r="G34" s="42">
        <f>SUMIFS(Fellesutgifter!$E$7:$E$100,Fellesutgifter!$D$7:$D$100,Sammendrag!B34)</f>
        <v>0</v>
      </c>
      <c r="H34" s="42">
        <f t="array" aca="1" ref="H34" ca="1">SUM(IF(MOD(ROW(OFFSET('P2P-utgifter'!D$5:D$100,0,ROW()-5)),2)&lt;&gt;0,OFFSET('P2P-utgifter'!D$5:D$100,0,ROW()-5),0))</f>
        <v>0</v>
      </c>
      <c r="I34" s="15">
        <f t="shared" ca="1" si="1"/>
        <v>0</v>
      </c>
      <c r="J34" s="15">
        <f t="shared" ca="1" si="2"/>
        <v>0</v>
      </c>
    </row>
    <row r="35" spans="2:10" x14ac:dyDescent="0.3">
      <c r="B35" s="25" t="str">
        <f>IF(Deltagere!A31&gt;0,Deltagere!A31,"")</f>
        <v/>
      </c>
      <c r="C35" s="23"/>
      <c r="D35" s="42">
        <f>CommonExpenses(Sammendrag!B35,Fellesutgifter!$E$7:$E$100,Fellesutgifter!$F$7:$F$100,Fordelingsnøkler!$B$2:$O$49)</f>
        <v>0</v>
      </c>
      <c r="E35" s="42">
        <f t="array" aca="1" ref="E35" ca="1">SUM(IF(MOD(ROW(OFFSET('P2P-utgifter'!D$5:D$100,0,ROW()-5)),2)=0,OFFSET('P2P-utgifter'!D$5:D$100,0,ROW()-5),0))</f>
        <v>0</v>
      </c>
      <c r="F35" s="14">
        <f t="shared" ca="1" si="0"/>
        <v>0</v>
      </c>
      <c r="G35" s="42">
        <f>SUMIFS(Fellesutgifter!$E$7:$E$100,Fellesutgifter!$D$7:$D$100,Sammendrag!B35)</f>
        <v>0</v>
      </c>
      <c r="H35" s="42">
        <f t="array" aca="1" ref="H35" ca="1">SUM(IF(MOD(ROW(OFFSET('P2P-utgifter'!D$5:D$100,0,ROW()-5)),2)&lt;&gt;0,OFFSET('P2P-utgifter'!D$5:D$100,0,ROW()-5),0))</f>
        <v>0</v>
      </c>
      <c r="I35" s="15">
        <f t="shared" ca="1" si="1"/>
        <v>0</v>
      </c>
      <c r="J35" s="15">
        <f t="shared" ca="1" si="2"/>
        <v>0</v>
      </c>
    </row>
    <row r="36" spans="2:10" x14ac:dyDescent="0.3">
      <c r="B36" s="25" t="str">
        <f>IF(Deltagere!A32&gt;0,Deltagere!A32,"")</f>
        <v/>
      </c>
      <c r="C36" s="23"/>
      <c r="D36" s="42">
        <f>CommonExpenses(Sammendrag!B36,Fellesutgifter!$E$7:$E$100,Fellesutgifter!$F$7:$F$100,Fordelingsnøkler!$B$2:$O$49)</f>
        <v>0</v>
      </c>
      <c r="E36" s="42">
        <f t="array" aca="1" ref="E36" ca="1">SUM(IF(MOD(ROW(OFFSET('P2P-utgifter'!D$5:D$100,0,ROW()-5)),2)=0,OFFSET('P2P-utgifter'!D$5:D$100,0,ROW()-5),0))</f>
        <v>0</v>
      </c>
      <c r="F36" s="14">
        <f t="shared" ca="1" si="0"/>
        <v>0</v>
      </c>
      <c r="G36" s="42">
        <f>SUMIFS(Fellesutgifter!$E$7:$E$100,Fellesutgifter!$D$7:$D$100,Sammendrag!B36)</f>
        <v>0</v>
      </c>
      <c r="H36" s="42">
        <f t="array" aca="1" ref="H36" ca="1">SUM(IF(MOD(ROW(OFFSET('P2P-utgifter'!D$5:D$100,0,ROW()-5)),2)&lt;&gt;0,OFFSET('P2P-utgifter'!D$5:D$100,0,ROW()-5),0))</f>
        <v>0</v>
      </c>
      <c r="I36" s="15">
        <f t="shared" ca="1" si="1"/>
        <v>0</v>
      </c>
      <c r="J36" s="15">
        <f t="shared" ca="1" si="2"/>
        <v>0</v>
      </c>
    </row>
    <row r="37" spans="2:10" x14ac:dyDescent="0.3">
      <c r="B37" s="25" t="str">
        <f>IF(Deltagere!A33&gt;0,Deltagere!A33,"")</f>
        <v/>
      </c>
      <c r="C37" s="23"/>
      <c r="D37" s="42">
        <f>CommonExpenses(Sammendrag!B37,Fellesutgifter!$E$7:$E$100,Fellesutgifter!$F$7:$F$100,Fordelingsnøkler!$B$2:$O$49)</f>
        <v>0</v>
      </c>
      <c r="E37" s="42">
        <f t="array" aca="1" ref="E37" ca="1">SUM(IF(MOD(ROW(OFFSET('P2P-utgifter'!D$5:D$100,0,ROW()-5)),2)=0,OFFSET('P2P-utgifter'!D$5:D$100,0,ROW()-5),0))</f>
        <v>0</v>
      </c>
      <c r="F37" s="14">
        <f t="shared" ca="1" si="0"/>
        <v>0</v>
      </c>
      <c r="G37" s="42">
        <f>SUMIFS(Fellesutgifter!$E$7:$E$100,Fellesutgifter!$D$7:$D$100,Sammendrag!B37)</f>
        <v>0</v>
      </c>
      <c r="H37" s="42">
        <f t="array" aca="1" ref="H37" ca="1">SUM(IF(MOD(ROW(OFFSET('P2P-utgifter'!D$5:D$100,0,ROW()-5)),2)&lt;&gt;0,OFFSET('P2P-utgifter'!D$5:D$100,0,ROW()-5),0))</f>
        <v>0</v>
      </c>
      <c r="I37" s="15">
        <f t="shared" ca="1" si="1"/>
        <v>0</v>
      </c>
      <c r="J37" s="15">
        <f t="shared" ca="1" si="2"/>
        <v>0</v>
      </c>
    </row>
    <row r="38" spans="2:10" x14ac:dyDescent="0.3">
      <c r="B38" s="25" t="str">
        <f>IF(Deltagere!A34&gt;0,Deltagere!A34,"")</f>
        <v/>
      </c>
      <c r="C38" s="23"/>
      <c r="D38" s="42">
        <f>CommonExpenses(Sammendrag!B38,Fellesutgifter!$E$7:$E$100,Fellesutgifter!$F$7:$F$100,Fordelingsnøkler!$B$2:$O$49)</f>
        <v>0</v>
      </c>
      <c r="E38" s="42">
        <f t="array" aca="1" ref="E38" ca="1">SUM(IF(MOD(ROW(OFFSET('P2P-utgifter'!D$5:D$100,0,ROW()-5)),2)=0,OFFSET('P2P-utgifter'!D$5:D$100,0,ROW()-5),0))</f>
        <v>0</v>
      </c>
      <c r="F38" s="14">
        <f t="shared" ca="1" si="0"/>
        <v>0</v>
      </c>
      <c r="G38" s="42">
        <f>SUMIFS(Fellesutgifter!$E$7:$E$100,Fellesutgifter!$D$7:$D$100,Sammendrag!B38)</f>
        <v>0</v>
      </c>
      <c r="H38" s="42">
        <f t="array" aca="1" ref="H38" ca="1">SUM(IF(MOD(ROW(OFFSET('P2P-utgifter'!D$5:D$100,0,ROW()-5)),2)&lt;&gt;0,OFFSET('P2P-utgifter'!D$5:D$100,0,ROW()-5),0))</f>
        <v>0</v>
      </c>
      <c r="I38" s="15">
        <f t="shared" ca="1" si="1"/>
        <v>0</v>
      </c>
      <c r="J38" s="15">
        <f t="shared" ca="1" si="2"/>
        <v>0</v>
      </c>
    </row>
    <row r="39" spans="2:10" x14ac:dyDescent="0.3">
      <c r="B39" s="25" t="str">
        <f>IF(Deltagere!A35&gt;0,Deltagere!A35,"")</f>
        <v/>
      </c>
      <c r="C39" s="23"/>
      <c r="D39" s="42">
        <f>CommonExpenses(Sammendrag!B39,Fellesutgifter!$E$7:$E$100,Fellesutgifter!$F$7:$F$100,Fordelingsnøkler!$B$2:$O$49)</f>
        <v>0</v>
      </c>
      <c r="E39" s="42">
        <f t="array" aca="1" ref="E39" ca="1">SUM(IF(MOD(ROW(OFFSET('P2P-utgifter'!D$5:D$100,0,ROW()-5)),2)=0,OFFSET('P2P-utgifter'!D$5:D$100,0,ROW()-5),0))</f>
        <v>0</v>
      </c>
      <c r="F39" s="14">
        <f t="shared" ca="1" si="0"/>
        <v>0</v>
      </c>
      <c r="G39" s="42">
        <f>SUMIFS(Fellesutgifter!$E$7:$E$100,Fellesutgifter!$D$7:$D$100,Sammendrag!B39)</f>
        <v>0</v>
      </c>
      <c r="H39" s="42">
        <f t="array" aca="1" ref="H39" ca="1">SUM(IF(MOD(ROW(OFFSET('P2P-utgifter'!D$5:D$100,0,ROW()-5)),2)&lt;&gt;0,OFFSET('P2P-utgifter'!D$5:D$100,0,ROW()-5),0))</f>
        <v>0</v>
      </c>
      <c r="I39" s="15">
        <f t="shared" ca="1" si="1"/>
        <v>0</v>
      </c>
      <c r="J39" s="15">
        <f t="shared" ca="1" si="2"/>
        <v>0</v>
      </c>
    </row>
    <row r="40" spans="2:10" x14ac:dyDescent="0.3">
      <c r="B40" s="25" t="str">
        <f>IF(Deltagere!A36&gt;0,Deltagere!A36,"")</f>
        <v/>
      </c>
      <c r="C40" s="23"/>
      <c r="D40" s="42">
        <f>CommonExpenses(Sammendrag!B40,Fellesutgifter!$E$7:$E$100,Fellesutgifter!$F$7:$F$100,Fordelingsnøkler!$B$2:$O$49)</f>
        <v>0</v>
      </c>
      <c r="E40" s="42">
        <f t="array" aca="1" ref="E40" ca="1">SUM(IF(MOD(ROW(OFFSET('P2P-utgifter'!D$5:D$100,0,ROW()-5)),2)=0,OFFSET('P2P-utgifter'!D$5:D$100,0,ROW()-5),0))</f>
        <v>0</v>
      </c>
      <c r="F40" s="14">
        <f t="shared" ca="1" si="0"/>
        <v>0</v>
      </c>
      <c r="G40" s="42">
        <f>SUMIFS(Fellesutgifter!$E$7:$E$100,Fellesutgifter!$D$7:$D$100,Sammendrag!B40)</f>
        <v>0</v>
      </c>
      <c r="H40" s="42">
        <f t="array" aca="1" ref="H40" ca="1">SUM(IF(MOD(ROW(OFFSET('P2P-utgifter'!D$5:D$100,0,ROW()-5)),2)&lt;&gt;0,OFFSET('P2P-utgifter'!D$5:D$100,0,ROW()-5),0))</f>
        <v>0</v>
      </c>
      <c r="I40" s="15">
        <f t="shared" ca="1" si="1"/>
        <v>0</v>
      </c>
      <c r="J40" s="15">
        <f t="shared" ca="1" si="2"/>
        <v>0</v>
      </c>
    </row>
    <row r="41" spans="2:10" x14ac:dyDescent="0.3">
      <c r="B41" s="25" t="str">
        <f>IF(Deltagere!A37&gt;0,Deltagere!A37,"")</f>
        <v/>
      </c>
      <c r="C41" s="23"/>
      <c r="D41" s="42">
        <f>CommonExpenses(Sammendrag!B41,Fellesutgifter!$E$7:$E$100,Fellesutgifter!$F$7:$F$100,Fordelingsnøkler!$B$2:$O$49)</f>
        <v>0</v>
      </c>
      <c r="E41" s="42">
        <f t="array" aca="1" ref="E41" ca="1">SUM(IF(MOD(ROW(OFFSET('P2P-utgifter'!D$5:D$100,0,ROW()-5)),2)=0,OFFSET('P2P-utgifter'!D$5:D$100,0,ROW()-5),0))</f>
        <v>0</v>
      </c>
      <c r="F41" s="14">
        <f t="shared" ca="1" si="0"/>
        <v>0</v>
      </c>
      <c r="G41" s="42">
        <f>SUMIFS(Fellesutgifter!$E$7:$E$100,Fellesutgifter!$D$7:$D$100,Sammendrag!B41)</f>
        <v>0</v>
      </c>
      <c r="H41" s="42">
        <f t="array" aca="1" ref="H41" ca="1">SUM(IF(MOD(ROW(OFFSET('P2P-utgifter'!D$5:D$100,0,ROW()-5)),2)&lt;&gt;0,OFFSET('P2P-utgifter'!D$5:D$100,0,ROW()-5),0))</f>
        <v>0</v>
      </c>
      <c r="I41" s="15">
        <f t="shared" ca="1" si="1"/>
        <v>0</v>
      </c>
      <c r="J41" s="15">
        <f t="shared" ca="1" si="2"/>
        <v>0</v>
      </c>
    </row>
    <row r="42" spans="2:10" x14ac:dyDescent="0.3">
      <c r="B42" s="25" t="str">
        <f>IF(Deltagere!A38&gt;0,Deltagere!A38,"")</f>
        <v/>
      </c>
      <c r="C42" s="23"/>
      <c r="D42" s="42">
        <f>CommonExpenses(Sammendrag!B42,Fellesutgifter!$E$7:$E$100,Fellesutgifter!$F$7:$F$100,Fordelingsnøkler!$B$2:$O$49)</f>
        <v>0</v>
      </c>
      <c r="E42" s="42">
        <f t="array" aca="1" ref="E42" ca="1">SUM(IF(MOD(ROW(OFFSET('P2P-utgifter'!D$5:D$100,0,ROW()-5)),2)=0,OFFSET('P2P-utgifter'!D$5:D$100,0,ROW()-5),0))</f>
        <v>0</v>
      </c>
      <c r="F42" s="14">
        <f t="shared" ca="1" si="0"/>
        <v>0</v>
      </c>
      <c r="G42" s="42">
        <f>SUMIFS(Fellesutgifter!$E$7:$E$100,Fellesutgifter!$D$7:$D$100,Sammendrag!B42)</f>
        <v>0</v>
      </c>
      <c r="H42" s="42">
        <f t="array" aca="1" ref="H42" ca="1">SUM(IF(MOD(ROW(OFFSET('P2P-utgifter'!D$5:D$100,0,ROW()-5)),2)&lt;&gt;0,OFFSET('P2P-utgifter'!D$5:D$100,0,ROW()-5),0))</f>
        <v>0</v>
      </c>
      <c r="I42" s="15">
        <f t="shared" ca="1" si="1"/>
        <v>0</v>
      </c>
      <c r="J42" s="15">
        <f t="shared" ca="1" si="2"/>
        <v>0</v>
      </c>
    </row>
    <row r="43" spans="2:10" x14ac:dyDescent="0.3">
      <c r="B43" s="25" t="str">
        <f>IF(Deltagere!A39&gt;0,Deltagere!A39,"")</f>
        <v/>
      </c>
      <c r="C43" s="23"/>
      <c r="D43" s="42">
        <f>CommonExpenses(Sammendrag!B43,Fellesutgifter!$E$7:$E$100,Fellesutgifter!$F$7:$F$100,Fordelingsnøkler!$B$2:$O$49)</f>
        <v>0</v>
      </c>
      <c r="E43" s="42">
        <f t="array" aca="1" ref="E43" ca="1">SUM(IF(MOD(ROW(OFFSET('P2P-utgifter'!D$5:D$100,0,ROW()-5)),2)=0,OFFSET('P2P-utgifter'!D$5:D$100,0,ROW()-5),0))</f>
        <v>0</v>
      </c>
      <c r="F43" s="14">
        <f t="shared" ca="1" si="0"/>
        <v>0</v>
      </c>
      <c r="G43" s="42">
        <f>SUMIFS(Fellesutgifter!$E$7:$E$100,Fellesutgifter!$D$7:$D$100,Sammendrag!B43)</f>
        <v>0</v>
      </c>
      <c r="H43" s="42">
        <f t="array" aca="1" ref="H43" ca="1">SUM(IF(MOD(ROW(OFFSET('P2P-utgifter'!D$5:D$100,0,ROW()-5)),2)&lt;&gt;0,OFFSET('P2P-utgifter'!D$5:D$100,0,ROW()-5),0))</f>
        <v>0</v>
      </c>
      <c r="I43" s="15">
        <f t="shared" ca="1" si="1"/>
        <v>0</v>
      </c>
      <c r="J43" s="15">
        <f t="shared" ca="1" si="2"/>
        <v>0</v>
      </c>
    </row>
    <row r="44" spans="2:10" x14ac:dyDescent="0.3">
      <c r="B44" s="25" t="str">
        <f>IF(Deltagere!A40&gt;0,Deltagere!A40,"")</f>
        <v/>
      </c>
      <c r="C44" s="23"/>
      <c r="D44" s="42">
        <f>CommonExpenses(Sammendrag!B44,Fellesutgifter!$E$7:$E$100,Fellesutgifter!$F$7:$F$100,Fordelingsnøkler!$B$2:$O$49)</f>
        <v>0</v>
      </c>
      <c r="E44" s="42">
        <f t="array" aca="1" ref="E44" ca="1">SUM(IF(MOD(ROW(OFFSET('P2P-utgifter'!D$5:D$100,0,ROW()-5)),2)=0,OFFSET('P2P-utgifter'!D$5:D$100,0,ROW()-5),0))</f>
        <v>0</v>
      </c>
      <c r="F44" s="14">
        <f t="shared" ca="1" si="0"/>
        <v>0</v>
      </c>
      <c r="G44" s="42">
        <f>SUMIFS(Fellesutgifter!$E$7:$E$100,Fellesutgifter!$D$7:$D$100,Sammendrag!B44)</f>
        <v>0</v>
      </c>
      <c r="H44" s="42">
        <f t="array" aca="1" ref="H44" ca="1">SUM(IF(MOD(ROW(OFFSET('P2P-utgifter'!D$5:D$100,0,ROW()-5)),2)&lt;&gt;0,OFFSET('P2P-utgifter'!D$5:D$100,0,ROW()-5),0))</f>
        <v>0</v>
      </c>
      <c r="I44" s="15">
        <f t="shared" ca="1" si="1"/>
        <v>0</v>
      </c>
      <c r="J44" s="15">
        <f t="shared" ca="1" si="2"/>
        <v>0</v>
      </c>
    </row>
    <row r="45" spans="2:10" x14ac:dyDescent="0.3">
      <c r="B45" s="25" t="str">
        <f>IF(Deltagere!A41&gt;0,Deltagere!A41,"")</f>
        <v/>
      </c>
      <c r="C45" s="23"/>
      <c r="D45" s="42">
        <f>CommonExpenses(Sammendrag!B45,Fellesutgifter!$E$7:$E$100,Fellesutgifter!$F$7:$F$100,Fordelingsnøkler!$B$2:$O$49)</f>
        <v>0</v>
      </c>
      <c r="E45" s="42">
        <f t="array" aca="1" ref="E45" ca="1">SUM(IF(MOD(ROW(OFFSET('P2P-utgifter'!D$5:D$100,0,ROW()-5)),2)=0,OFFSET('P2P-utgifter'!D$5:D$100,0,ROW()-5),0))</f>
        <v>0</v>
      </c>
      <c r="F45" s="14">
        <f t="shared" ca="1" si="0"/>
        <v>0</v>
      </c>
      <c r="G45" s="42">
        <f>SUMIFS(Fellesutgifter!$E$7:$E$100,Fellesutgifter!$D$7:$D$100,Sammendrag!B45)</f>
        <v>0</v>
      </c>
      <c r="H45" s="42">
        <f t="array" aca="1" ref="H45" ca="1">SUM(IF(MOD(ROW(OFFSET('P2P-utgifter'!D$5:D$100,0,ROW()-5)),2)&lt;&gt;0,OFFSET('P2P-utgifter'!D$5:D$100,0,ROW()-5),0))</f>
        <v>0</v>
      </c>
      <c r="I45" s="15">
        <f t="shared" ca="1" si="1"/>
        <v>0</v>
      </c>
      <c r="J45" s="15">
        <f t="shared" ca="1" si="2"/>
        <v>0</v>
      </c>
    </row>
    <row r="46" spans="2:10" x14ac:dyDescent="0.3">
      <c r="B46" s="25" t="str">
        <f>IF(Deltagere!A42&gt;0,Deltagere!A42,"")</f>
        <v/>
      </c>
      <c r="C46" s="23"/>
      <c r="D46" s="42">
        <f>CommonExpenses(Sammendrag!B46,Fellesutgifter!$E$7:$E$100,Fellesutgifter!$F$7:$F$100,Fordelingsnøkler!$B$2:$O$49)</f>
        <v>0</v>
      </c>
      <c r="E46" s="42">
        <f t="array" aca="1" ref="E46" ca="1">SUM(IF(MOD(ROW(OFFSET('P2P-utgifter'!D$5:D$100,0,ROW()-5)),2)=0,OFFSET('P2P-utgifter'!D$5:D$100,0,ROW()-5),0))</f>
        <v>0</v>
      </c>
      <c r="F46" s="14">
        <f t="shared" ca="1" si="0"/>
        <v>0</v>
      </c>
      <c r="G46" s="42">
        <f>SUMIFS(Fellesutgifter!$E$7:$E$100,Fellesutgifter!$D$7:$D$100,Sammendrag!B46)</f>
        <v>0</v>
      </c>
      <c r="H46" s="42">
        <f t="array" aca="1" ref="H46" ca="1">SUM(IF(MOD(ROW(OFFSET('P2P-utgifter'!D$5:D$100,0,ROW()-5)),2)&lt;&gt;0,OFFSET('P2P-utgifter'!D$5:D$100,0,ROW()-5),0))</f>
        <v>0</v>
      </c>
      <c r="I46" s="15">
        <f t="shared" ca="1" si="1"/>
        <v>0</v>
      </c>
      <c r="J46" s="15">
        <f t="shared" ca="1" si="2"/>
        <v>0</v>
      </c>
    </row>
    <row r="47" spans="2:10" x14ac:dyDescent="0.3">
      <c r="B47" s="25" t="str">
        <f>IF(Deltagere!A43&gt;0,Deltagere!A43,"")</f>
        <v/>
      </c>
      <c r="C47" s="23"/>
      <c r="D47" s="42">
        <f>CommonExpenses(Sammendrag!B47,Fellesutgifter!$E$7:$E$100,Fellesutgifter!$F$7:$F$100,Fordelingsnøkler!$B$2:$O$49)</f>
        <v>0</v>
      </c>
      <c r="E47" s="42">
        <f t="array" aca="1" ref="E47" ca="1">SUM(IF(MOD(ROW(OFFSET('P2P-utgifter'!D$5:D$100,0,ROW()-5)),2)=0,OFFSET('P2P-utgifter'!D$5:D$100,0,ROW()-5),0))</f>
        <v>0</v>
      </c>
      <c r="F47" s="14">
        <f t="shared" ca="1" si="0"/>
        <v>0</v>
      </c>
      <c r="G47" s="42">
        <f>SUMIFS(Fellesutgifter!$E$7:$E$100,Fellesutgifter!$D$7:$D$100,Sammendrag!B47)</f>
        <v>0</v>
      </c>
      <c r="H47" s="42">
        <f t="array" aca="1" ref="H47" ca="1">SUM(IF(MOD(ROW(OFFSET('P2P-utgifter'!D$5:D$100,0,ROW()-5)),2)&lt;&gt;0,OFFSET('P2P-utgifter'!D$5:D$100,0,ROW()-5),0))</f>
        <v>0</v>
      </c>
      <c r="I47" s="15">
        <f t="shared" ca="1" si="1"/>
        <v>0</v>
      </c>
      <c r="J47" s="15">
        <f t="shared" ca="1" si="2"/>
        <v>0</v>
      </c>
    </row>
    <row r="48" spans="2:10" x14ac:dyDescent="0.3">
      <c r="B48" s="25" t="str">
        <f>IF(Deltagere!A44&gt;0,Deltagere!A44,"")</f>
        <v/>
      </c>
      <c r="C48" s="23"/>
      <c r="D48" s="42">
        <f>CommonExpenses(Sammendrag!B48,Fellesutgifter!$E$7:$E$100,Fellesutgifter!$F$7:$F$100,Fordelingsnøkler!$B$2:$O$49)</f>
        <v>0</v>
      </c>
      <c r="E48" s="42">
        <f t="array" aca="1" ref="E48" ca="1">SUM(IF(MOD(ROW(OFFSET('P2P-utgifter'!D$5:D$100,0,ROW()-5)),2)=0,OFFSET('P2P-utgifter'!D$5:D$100,0,ROW()-5),0))</f>
        <v>0</v>
      </c>
      <c r="F48" s="14">
        <f t="shared" ca="1" si="0"/>
        <v>0</v>
      </c>
      <c r="G48" s="42">
        <f>SUMIFS(Fellesutgifter!$E$7:$E$100,Fellesutgifter!$D$7:$D$100,Sammendrag!B48)</f>
        <v>0</v>
      </c>
      <c r="H48" s="42">
        <f t="array" aca="1" ref="H48" ca="1">SUM(IF(MOD(ROW(OFFSET('P2P-utgifter'!D$5:D$100,0,ROW()-5)),2)&lt;&gt;0,OFFSET('P2P-utgifter'!D$5:D$100,0,ROW()-5),0))</f>
        <v>0</v>
      </c>
      <c r="I48" s="15">
        <f t="shared" ca="1" si="1"/>
        <v>0</v>
      </c>
      <c r="J48" s="15">
        <f t="shared" ca="1" si="2"/>
        <v>0</v>
      </c>
    </row>
    <row r="49" spans="2:10" x14ac:dyDescent="0.3">
      <c r="B49" s="25" t="str">
        <f>IF(Deltagere!A45&gt;0,Deltagere!A45,"")</f>
        <v/>
      </c>
      <c r="C49" s="23"/>
      <c r="D49" s="42">
        <f>CommonExpenses(Sammendrag!B49,Fellesutgifter!$E$7:$E$100,Fellesutgifter!$F$7:$F$100,Fordelingsnøkler!$B$2:$O$49)</f>
        <v>0</v>
      </c>
      <c r="E49" s="42">
        <f t="array" aca="1" ref="E49" ca="1">SUM(IF(MOD(ROW(OFFSET('P2P-utgifter'!D$5:D$100,0,ROW()-5)),2)=0,OFFSET('P2P-utgifter'!D$5:D$100,0,ROW()-5),0))</f>
        <v>0</v>
      </c>
      <c r="F49" s="14">
        <f t="shared" ca="1" si="0"/>
        <v>0</v>
      </c>
      <c r="G49" s="42">
        <f>SUMIFS(Fellesutgifter!$E$7:$E$100,Fellesutgifter!$D$7:$D$100,Sammendrag!B49)</f>
        <v>0</v>
      </c>
      <c r="H49" s="42">
        <f t="array" aca="1" ref="H49" ca="1">SUM(IF(MOD(ROW(OFFSET('P2P-utgifter'!D$5:D$100,0,ROW()-5)),2)&lt;&gt;0,OFFSET('P2P-utgifter'!D$5:D$100,0,ROW()-5),0))</f>
        <v>0</v>
      </c>
      <c r="I49" s="15">
        <f t="shared" ca="1" si="1"/>
        <v>0</v>
      </c>
      <c r="J49" s="15">
        <f t="shared" ca="1" si="2"/>
        <v>0</v>
      </c>
    </row>
    <row r="50" spans="2:10" x14ac:dyDescent="0.3">
      <c r="B50" s="25" t="str">
        <f>IF(Deltagere!A46&gt;0,Deltagere!A46,"")</f>
        <v/>
      </c>
      <c r="C50" s="23"/>
      <c r="D50" s="42">
        <f>CommonExpenses(Sammendrag!B50,Fellesutgifter!$E$7:$E$100,Fellesutgifter!$F$7:$F$100,Fordelingsnøkler!$B$2:$O$49)</f>
        <v>0</v>
      </c>
      <c r="E50" s="42">
        <f t="array" aca="1" ref="E50" ca="1">SUM(IF(MOD(ROW(OFFSET('P2P-utgifter'!D$5:D$100,0,ROW()-5)),2)=0,OFFSET('P2P-utgifter'!D$5:D$100,0,ROW()-5),0))</f>
        <v>0</v>
      </c>
      <c r="F50" s="14">
        <f t="shared" ca="1" si="0"/>
        <v>0</v>
      </c>
      <c r="G50" s="42">
        <f>SUMIFS(Fellesutgifter!$E$7:$E$100,Fellesutgifter!$D$7:$D$100,Sammendrag!B50)</f>
        <v>0</v>
      </c>
      <c r="H50" s="42">
        <f t="array" aca="1" ref="H50" ca="1">SUM(IF(MOD(ROW(OFFSET('P2P-utgifter'!D$5:D$100,0,ROW()-5)),2)&lt;&gt;0,OFFSET('P2P-utgifter'!D$5:D$100,0,ROW()-5),0))</f>
        <v>0</v>
      </c>
      <c r="I50" s="15">
        <f t="shared" ca="1" si="1"/>
        <v>0</v>
      </c>
      <c r="J50" s="15">
        <f t="shared" ca="1" si="2"/>
        <v>0</v>
      </c>
    </row>
    <row r="51" spans="2:10" x14ac:dyDescent="0.3">
      <c r="B51" s="25"/>
    </row>
    <row r="52" spans="2:10" x14ac:dyDescent="0.3">
      <c r="B52" s="25"/>
    </row>
    <row r="53" spans="2:10" x14ac:dyDescent="0.3">
      <c r="B53" s="25"/>
    </row>
    <row r="54" spans="2:10" x14ac:dyDescent="0.3">
      <c r="B54" s="25"/>
    </row>
    <row r="55" spans="2:10" x14ac:dyDescent="0.3">
      <c r="B55" s="25"/>
    </row>
    <row r="56" spans="2:10" x14ac:dyDescent="0.3">
      <c r="B56" s="25"/>
    </row>
    <row r="57" spans="2:10" x14ac:dyDescent="0.3">
      <c r="B57" s="25"/>
    </row>
    <row r="58" spans="2:10" x14ac:dyDescent="0.3">
      <c r="B58" s="25"/>
    </row>
    <row r="59" spans="2:10" x14ac:dyDescent="0.3">
      <c r="B59" s="25"/>
    </row>
    <row r="60" spans="2:10" x14ac:dyDescent="0.3">
      <c r="B60" s="25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1:A3"/>
  <sheetViews>
    <sheetView workbookViewId="0">
      <selection activeCell="H7" sqref="H7"/>
    </sheetView>
  </sheetViews>
  <sheetFormatPr baseColWidth="10" defaultRowHeight="14.4" x14ac:dyDescent="0.3"/>
  <cols>
    <col min="1" max="1" width="11.5546875" style="23" customWidth="1"/>
  </cols>
  <sheetData>
    <row r="1" spans="1:1" x14ac:dyDescent="0.3">
      <c r="A1" s="23" t="s">
        <v>11</v>
      </c>
    </row>
    <row r="2" spans="1:1" x14ac:dyDescent="0.3">
      <c r="A2" s="23" t="s">
        <v>12</v>
      </c>
    </row>
    <row r="3" spans="1:1" x14ac:dyDescent="0.3">
      <c r="A3" s="23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AL53"/>
  <sheetViews>
    <sheetView workbookViewId="0">
      <selection activeCell="E28" sqref="E28"/>
    </sheetView>
  </sheetViews>
  <sheetFormatPr baseColWidth="10" defaultRowHeight="14.4" x14ac:dyDescent="0.3"/>
  <cols>
    <col min="1" max="1" width="13.77734375" style="44" customWidth="1"/>
    <col min="7" max="7" width="12.33203125" style="39" bestFit="1" customWidth="1"/>
  </cols>
  <sheetData>
    <row r="1" spans="1:38" s="6" customFormat="1" x14ac:dyDescent="0.3">
      <c r="A1" s="45" t="s">
        <v>14</v>
      </c>
      <c r="B1" s="6" t="str">
        <f t="array" ref="B1:Z1">TRANSPOSE(Deltagere!A1:A25)</f>
        <v>Bob</v>
      </c>
      <c r="C1" s="6" t="str">
        <v>Alice</v>
      </c>
      <c r="D1" s="6" t="str">
        <v>Charlie</v>
      </c>
      <c r="E1" s="6">
        <v>0</v>
      </c>
      <c r="F1" s="6">
        <v>0</v>
      </c>
      <c r="G1" s="6">
        <v>0</v>
      </c>
      <c r="H1" s="6">
        <v>0</v>
      </c>
      <c r="I1" s="6">
        <v>0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P1" s="6">
        <v>0</v>
      </c>
      <c r="Q1" s="6">
        <v>0</v>
      </c>
      <c r="R1" s="6">
        <v>0</v>
      </c>
      <c r="S1" s="6">
        <v>0</v>
      </c>
      <c r="T1" s="6">
        <v>0</v>
      </c>
      <c r="U1" s="6">
        <v>0</v>
      </c>
      <c r="V1" s="6">
        <v>0</v>
      </c>
      <c r="W1" s="6">
        <v>0</v>
      </c>
      <c r="X1" s="6">
        <v>0</v>
      </c>
      <c r="Y1" s="6">
        <v>0</v>
      </c>
      <c r="Z1" s="6">
        <v>0</v>
      </c>
    </row>
    <row r="2" spans="1:38" x14ac:dyDescent="0.3">
      <c r="A2" s="43" t="str">
        <f>IF(Deltagere!A1&gt;0,Deltagere!A1,"")</f>
        <v>Bob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</row>
    <row r="3" spans="1:38" x14ac:dyDescent="0.3">
      <c r="A3" s="43" t="str">
        <f>IF(Deltagere!A2&gt;0,Deltagere!A2,"")</f>
        <v>Alice</v>
      </c>
      <c r="B3" s="21">
        <v>85</v>
      </c>
      <c r="C3" s="21"/>
      <c r="D3" s="21">
        <v>60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</row>
    <row r="4" spans="1:38" x14ac:dyDescent="0.3">
      <c r="A4" s="43" t="str">
        <f>IF(Deltagere!A3&gt;0,Deltagere!A3,"")</f>
        <v>Charlie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</row>
    <row r="5" spans="1:38" x14ac:dyDescent="0.3">
      <c r="A5" s="43" t="str">
        <f>IF(Deltagere!A4&gt;0,Deltagere!A4,"")</f>
        <v/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</row>
    <row r="6" spans="1:38" x14ac:dyDescent="0.3">
      <c r="A6" s="43" t="str">
        <f>IF(Deltagere!A5&gt;0,Deltagere!A5,"")</f>
        <v/>
      </c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</row>
    <row r="7" spans="1:38" x14ac:dyDescent="0.3">
      <c r="A7" s="43" t="str">
        <f>IF(Deltagere!A6&gt;0,Deltagere!A6,"")</f>
        <v/>
      </c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</row>
    <row r="8" spans="1:38" x14ac:dyDescent="0.3">
      <c r="A8" s="43" t="str">
        <f>IF(Deltagere!A7&gt;0,Deltagere!A7,"")</f>
        <v/>
      </c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</row>
    <row r="9" spans="1:38" x14ac:dyDescent="0.3">
      <c r="A9" s="43" t="str">
        <f>IF(Deltagere!A8&gt;0,Deltagere!A8,"")</f>
        <v/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</row>
    <row r="10" spans="1:38" x14ac:dyDescent="0.3">
      <c r="A10" s="43" t="str">
        <f>IF(Deltagere!A9&gt;0,Deltagere!A9,"")</f>
        <v/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</row>
    <row r="11" spans="1:38" x14ac:dyDescent="0.3">
      <c r="A11" s="43" t="str">
        <f>IF(Deltagere!A10&gt;0,Deltagere!A10,"")</f>
        <v/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</row>
    <row r="12" spans="1:38" x14ac:dyDescent="0.3">
      <c r="A12" s="43" t="str">
        <f>IF(Deltagere!A11&gt;0,Deltagere!A11,"")</f>
        <v/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</row>
    <row r="13" spans="1:38" x14ac:dyDescent="0.3">
      <c r="A13" s="43" t="str">
        <f>IF(Deltagere!A12&gt;0,Deltagere!A12,"")</f>
        <v/>
      </c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</row>
    <row r="14" spans="1:38" x14ac:dyDescent="0.3">
      <c r="A14" s="43" t="str">
        <f>IF(Deltagere!A13&gt;0,Deltagere!A13,"")</f>
        <v/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</row>
    <row r="15" spans="1:38" x14ac:dyDescent="0.3">
      <c r="A15" s="43" t="str">
        <f>IF(Deltagere!A14&gt;0,Deltagere!A14,"")</f>
        <v/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</row>
    <row r="16" spans="1:38" x14ac:dyDescent="0.3">
      <c r="A16" s="43" t="str">
        <f>IF(Deltagere!A15&gt;0,Deltagere!A15,"")</f>
        <v/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</row>
    <row r="17" spans="1:38" x14ac:dyDescent="0.3">
      <c r="A17" s="43" t="str">
        <f>IF(Deltagere!A16&gt;0,Deltagere!A16,"")</f>
        <v/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</row>
    <row r="18" spans="1:38" x14ac:dyDescent="0.3">
      <c r="A18" s="43" t="str">
        <f>IF(Deltagere!A17&gt;0,Deltagere!A17,"")</f>
        <v/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</row>
    <row r="19" spans="1:38" x14ac:dyDescent="0.3">
      <c r="A19" s="43" t="str">
        <f>IF(Deltagere!A18&gt;0,Deltagere!A18,"")</f>
        <v/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</row>
    <row r="20" spans="1:38" x14ac:dyDescent="0.3">
      <c r="A20" s="43" t="str">
        <f>IF(Deltagere!A19&gt;0,Deltagere!A19,"")</f>
        <v/>
      </c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</row>
    <row r="21" spans="1:38" x14ac:dyDescent="0.3">
      <c r="A21" s="43" t="str">
        <f>IF(Deltagere!A20&gt;0,Deltagere!A20,"")</f>
        <v/>
      </c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</row>
    <row r="22" spans="1:38" x14ac:dyDescent="0.3">
      <c r="A22" s="43" t="str">
        <f>IF(Deltagere!A21&gt;0,Deltagere!A21,"")</f>
        <v/>
      </c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</row>
    <row r="23" spans="1:38" x14ac:dyDescent="0.3">
      <c r="A23" s="43" t="str">
        <f>IF(Deltagere!A22&gt;0,Deltagere!A22,"")</f>
        <v/>
      </c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</row>
    <row r="24" spans="1:38" x14ac:dyDescent="0.3">
      <c r="A24" s="43" t="str">
        <f>IF(Deltagere!A23&gt;0,Deltagere!A23,"")</f>
        <v/>
      </c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</row>
    <row r="25" spans="1:38" x14ac:dyDescent="0.3">
      <c r="A25" s="43" t="str">
        <f>IF(Deltagere!A24&gt;0,Deltagere!A24,"")</f>
        <v/>
      </c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</row>
    <row r="26" spans="1:38" x14ac:dyDescent="0.3">
      <c r="A26" s="43" t="str">
        <f>IF(Deltagere!A25&gt;0,Deltagere!A25,"")</f>
        <v/>
      </c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</row>
    <row r="27" spans="1:38" x14ac:dyDescent="0.3">
      <c r="A27" s="43" t="str">
        <f>IF(Deltagere!A26&gt;0,Deltagere!A26,"")</f>
        <v/>
      </c>
      <c r="B27" s="21" t="str">
        <f>IF(Deltagere!A25&gt;0,Deltagere!A25,"")</f>
        <v/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</row>
    <row r="28" spans="1:38" x14ac:dyDescent="0.3">
      <c r="A28" s="43" t="str">
        <f>IF(Deltagere!A27&gt;0,Deltagere!A27,"")</f>
        <v/>
      </c>
      <c r="B28" s="21" t="str">
        <f>IF(Deltagere!A26&gt;0,Deltagere!A26,"")</f>
        <v/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</row>
    <row r="29" spans="1:38" x14ac:dyDescent="0.3">
      <c r="A29" s="43" t="str">
        <f>IF(Deltagere!A28&gt;0,Deltagere!A28,"")</f>
        <v/>
      </c>
      <c r="B29" s="21" t="str">
        <f>IF(Deltagere!A27&gt;0,Deltagere!A27,"")</f>
        <v/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</row>
    <row r="30" spans="1:38" x14ac:dyDescent="0.3">
      <c r="A30" s="43" t="str">
        <f>IF(Deltagere!A29&gt;0,Deltagere!A29,"")</f>
        <v/>
      </c>
      <c r="B30" s="21" t="str">
        <f>IF(Deltagere!A28&gt;0,Deltagere!A28,"")</f>
        <v/>
      </c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</row>
    <row r="31" spans="1:38" x14ac:dyDescent="0.3">
      <c r="A31" s="43" t="str">
        <f>IF(Deltagere!A30&gt;0,Deltagere!A30,"")</f>
        <v/>
      </c>
      <c r="B31" s="21" t="str">
        <f>IF(Deltagere!A29&gt;0,Deltagere!A29,"")</f>
        <v/>
      </c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</row>
    <row r="32" spans="1:38" x14ac:dyDescent="0.3">
      <c r="A32" s="43" t="str">
        <f>IF(Deltagere!A31&gt;0,Deltagere!A31,"")</f>
        <v/>
      </c>
      <c r="B32" s="21" t="str">
        <f>IF(Deltagere!A30&gt;0,Deltagere!A30,"")</f>
        <v/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</row>
    <row r="33" spans="1:38" x14ac:dyDescent="0.3">
      <c r="A33" s="43" t="str">
        <f>IF(Deltagere!A32&gt;0,Deltagere!A32,"")</f>
        <v/>
      </c>
      <c r="B33" s="21" t="str">
        <f>IF(Deltagere!A31&gt;0,Deltagere!A31,"")</f>
        <v/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</row>
    <row r="34" spans="1:38" x14ac:dyDescent="0.3">
      <c r="A34" s="43" t="str">
        <f>IF(Deltagere!A33&gt;0,Deltagere!A33,"")</f>
        <v/>
      </c>
      <c r="B34" s="21" t="str">
        <f>IF(Deltagere!A32&gt;0,Deltagere!A32,"")</f>
        <v/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</row>
    <row r="35" spans="1:38" x14ac:dyDescent="0.3">
      <c r="A35" s="43" t="str">
        <f>IF(Deltagere!A34&gt;0,Deltagere!A34,"")</f>
        <v/>
      </c>
      <c r="B35" s="21" t="str">
        <f>IF(Deltagere!A33&gt;0,Deltagere!A33,"")</f>
        <v/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</row>
    <row r="36" spans="1:38" x14ac:dyDescent="0.3">
      <c r="A36" s="43" t="str">
        <f>IF(Deltagere!A35&gt;0,Deltagere!A35,"")</f>
        <v/>
      </c>
      <c r="B36" s="21" t="str">
        <f>IF(Deltagere!A34&gt;0,Deltagere!A34,"")</f>
        <v/>
      </c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</row>
    <row r="37" spans="1:38" x14ac:dyDescent="0.3">
      <c r="A37" s="43" t="str">
        <f>IF(Deltagere!A36&gt;0,Deltagere!A36,"")</f>
        <v/>
      </c>
      <c r="B37" s="21" t="str">
        <f>IF(Deltagere!A35&gt;0,Deltagere!A35,"")</f>
        <v/>
      </c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</row>
    <row r="38" spans="1:38" x14ac:dyDescent="0.3">
      <c r="A38" s="43" t="str">
        <f>IF(Deltagere!A37&gt;0,Deltagere!A37,"")</f>
        <v/>
      </c>
      <c r="B38" s="21" t="str">
        <f>IF(Deltagere!A36&gt;0,Deltagere!A36,"")</f>
        <v/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</row>
    <row r="39" spans="1:38" x14ac:dyDescent="0.3">
      <c r="A39" s="43" t="str">
        <f>IF(Deltagere!A38&gt;0,Deltagere!A38,"")</f>
        <v/>
      </c>
      <c r="B39" s="21" t="str">
        <f>IF(Deltagere!A37&gt;0,Deltagere!A37,"")</f>
        <v/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</row>
    <row r="40" spans="1:38" x14ac:dyDescent="0.3">
      <c r="A40" s="43" t="str">
        <f>IF(Deltagere!A39&gt;0,Deltagere!A39,"")</f>
        <v/>
      </c>
      <c r="B40" s="21" t="str">
        <f>IF(Deltagere!A38&gt;0,Deltagere!A38,"")</f>
        <v/>
      </c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</row>
    <row r="41" spans="1:38" x14ac:dyDescent="0.3">
      <c r="A41" s="43" t="str">
        <f>IF(Deltagere!A40&gt;0,Deltagere!A40,"")</f>
        <v/>
      </c>
      <c r="B41" s="21" t="str">
        <f>IF(Deltagere!A39&gt;0,Deltagere!A39,"")</f>
        <v/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</row>
    <row r="42" spans="1:38" x14ac:dyDescent="0.3">
      <c r="A42" s="43" t="str">
        <f>IF(Deltagere!A41&gt;0,Deltagere!A41,"")</f>
        <v/>
      </c>
      <c r="B42" s="21" t="str">
        <f>IF(Deltagere!A40&gt;0,Deltagere!A40,"")</f>
        <v/>
      </c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</row>
    <row r="43" spans="1:38" x14ac:dyDescent="0.3">
      <c r="A43" s="43" t="str">
        <f>IF(Deltagere!A42&gt;0,Deltagere!A42,"")</f>
        <v/>
      </c>
      <c r="B43" s="21" t="str">
        <f>IF(Deltagere!A41&gt;0,Deltagere!A41,"")</f>
        <v/>
      </c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</row>
    <row r="44" spans="1:38" x14ac:dyDescent="0.3">
      <c r="A44" s="43" t="str">
        <f>IF(Deltagere!A43&gt;0,Deltagere!A43,"")</f>
        <v/>
      </c>
      <c r="B44" s="21" t="str">
        <f>IF(Deltagere!A42&gt;0,Deltagere!A42,"")</f>
        <v/>
      </c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</row>
    <row r="45" spans="1:38" x14ac:dyDescent="0.3">
      <c r="A45" s="43" t="str">
        <f>IF(Deltagere!A44&gt;0,Deltagere!A44,"")</f>
        <v/>
      </c>
      <c r="B45" s="21" t="str">
        <f>IF(Deltagere!A43&gt;0,Deltagere!A43,"")</f>
        <v/>
      </c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</row>
    <row r="46" spans="1:38" x14ac:dyDescent="0.3">
      <c r="A46" s="43" t="str">
        <f>IF(Deltagere!A45&gt;0,Deltagere!A45,"")</f>
        <v/>
      </c>
      <c r="B46" s="21" t="str">
        <f>IF(Deltagere!A44&gt;0,Deltagere!A44,"")</f>
        <v/>
      </c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</row>
    <row r="47" spans="1:38" x14ac:dyDescent="0.3">
      <c r="A47" s="43" t="str">
        <f>IF(Deltagere!A46&gt;0,Deltagere!A46,"")</f>
        <v/>
      </c>
      <c r="B47" s="21" t="str">
        <f>IF(Deltagere!A45&gt;0,Deltagere!A45,"")</f>
        <v/>
      </c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</row>
    <row r="48" spans="1:38" x14ac:dyDescent="0.3">
      <c r="A48" s="43" t="str">
        <f>IF(Deltagere!A47&gt;0,Deltagere!A47,"")</f>
        <v/>
      </c>
      <c r="B48" s="21" t="str">
        <f>IF(Deltagere!A46&gt;0,Deltagere!A46,"")</f>
        <v/>
      </c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</row>
    <row r="49" spans="1:38" x14ac:dyDescent="0.3">
      <c r="A49" s="43" t="str">
        <f>IF(Deltagere!A48&gt;0,Deltagere!A48,"")</f>
        <v/>
      </c>
      <c r="B49" s="21" t="str">
        <f>IF(Deltagere!A47&gt;0,Deltagere!A47,"")</f>
        <v/>
      </c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1:38" x14ac:dyDescent="0.3">
      <c r="A50" s="43" t="str">
        <f>IF(Deltagere!A49&gt;0,Deltagere!A49,"")</f>
        <v/>
      </c>
      <c r="B50" s="21" t="str">
        <f>IF(Deltagere!A48&gt;0,Deltagere!A48,"")</f>
        <v/>
      </c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1:38" x14ac:dyDescent="0.3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1:38" x14ac:dyDescent="0.3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1:38" x14ac:dyDescent="0.3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T80"/>
  <sheetViews>
    <sheetView workbookViewId="0">
      <selection activeCell="H14" sqref="H14"/>
    </sheetView>
  </sheetViews>
  <sheetFormatPr baseColWidth="10" defaultColWidth="21.109375" defaultRowHeight="14.4" x14ac:dyDescent="0.3"/>
  <cols>
    <col min="1" max="1" width="8.88671875" style="39" customWidth="1"/>
    <col min="2" max="2" width="9.33203125" style="39" customWidth="1"/>
    <col min="3" max="3" width="24.77734375" style="39" customWidth="1"/>
    <col min="4" max="4" width="14.33203125" style="16" customWidth="1"/>
    <col min="5" max="5" width="13.6640625" style="39" customWidth="1"/>
    <col min="6" max="6" width="9.5546875" style="39" customWidth="1"/>
    <col min="7" max="7" width="17.44140625" style="39" customWidth="1"/>
    <col min="8" max="8" width="12.44140625" style="39" customWidth="1"/>
    <col min="9" max="9" width="8.88671875" style="39" customWidth="1"/>
    <col min="10" max="10" width="17.88671875" style="39" customWidth="1"/>
    <col min="11" max="17" width="21.109375" style="39" customWidth="1"/>
    <col min="18" max="16384" width="21.109375" style="39"/>
  </cols>
  <sheetData>
    <row r="2" spans="2:20" ht="18.75" customHeight="1" x14ac:dyDescent="0.35">
      <c r="B2" s="1" t="s">
        <v>3</v>
      </c>
    </row>
    <row r="3" spans="2:20" x14ac:dyDescent="0.3">
      <c r="J3" s="25"/>
    </row>
    <row r="4" spans="2:20" x14ac:dyDescent="0.3">
      <c r="B4" s="5" t="s">
        <v>15</v>
      </c>
      <c r="C4" s="7"/>
      <c r="D4" s="7"/>
      <c r="E4" s="17">
        <f>SUM(E7:E10018)</f>
        <v>450</v>
      </c>
      <c r="J4" s="52"/>
    </row>
    <row r="5" spans="2:20" s="8" customFormat="1" ht="30" customHeight="1" x14ac:dyDescent="0.3">
      <c r="D5" s="18"/>
      <c r="J5" s="53"/>
      <c r="K5" s="20"/>
      <c r="L5" s="20"/>
      <c r="M5" s="20"/>
      <c r="N5" s="20"/>
    </row>
    <row r="6" spans="2:20" x14ac:dyDescent="0.3">
      <c r="B6" s="6" t="s">
        <v>16</v>
      </c>
      <c r="C6" s="6" t="s">
        <v>17</v>
      </c>
      <c r="D6" s="6" t="s">
        <v>18</v>
      </c>
      <c r="E6" s="6" t="s">
        <v>19</v>
      </c>
      <c r="F6" s="6" t="s">
        <v>20</v>
      </c>
      <c r="G6" s="6" t="s">
        <v>21</v>
      </c>
      <c r="H6" s="25"/>
      <c r="J6" s="25"/>
      <c r="S6" s="10"/>
      <c r="T6" s="10"/>
    </row>
    <row r="7" spans="2:20" x14ac:dyDescent="0.3">
      <c r="B7" s="38">
        <v>1</v>
      </c>
      <c r="C7" s="38" t="s">
        <v>22</v>
      </c>
      <c r="D7" s="38" t="s">
        <v>11</v>
      </c>
      <c r="E7" s="33">
        <v>150</v>
      </c>
      <c r="F7" s="38">
        <v>1</v>
      </c>
      <c r="G7" s="38"/>
      <c r="H7" s="25"/>
      <c r="J7" s="25"/>
      <c r="S7" s="10"/>
      <c r="T7" s="10"/>
    </row>
    <row r="8" spans="2:20" x14ac:dyDescent="0.3">
      <c r="B8" s="41">
        <v>2</v>
      </c>
      <c r="C8" s="41" t="s">
        <v>23</v>
      </c>
      <c r="D8" s="41" t="s">
        <v>13</v>
      </c>
      <c r="E8" s="28">
        <v>200</v>
      </c>
      <c r="F8" s="41">
        <v>1</v>
      </c>
      <c r="G8" s="41"/>
      <c r="S8" s="40"/>
      <c r="T8" s="40"/>
    </row>
    <row r="9" spans="2:20" x14ac:dyDescent="0.3">
      <c r="B9" s="38">
        <v>3</v>
      </c>
      <c r="C9" s="38" t="s">
        <v>24</v>
      </c>
      <c r="D9" s="29" t="s">
        <v>11</v>
      </c>
      <c r="E9" s="30">
        <v>100</v>
      </c>
      <c r="F9" s="38">
        <v>2</v>
      </c>
      <c r="G9" s="38"/>
      <c r="H9" s="10"/>
      <c r="J9" s="25"/>
      <c r="S9" s="10"/>
      <c r="T9" s="10"/>
    </row>
    <row r="10" spans="2:20" x14ac:dyDescent="0.3">
      <c r="B10" s="41">
        <v>4</v>
      </c>
      <c r="C10" s="38"/>
      <c r="D10" s="29"/>
      <c r="E10" s="30"/>
      <c r="F10" s="38"/>
      <c r="G10" s="38"/>
      <c r="H10" s="10"/>
      <c r="J10" s="25"/>
      <c r="S10" s="10"/>
      <c r="T10" s="10"/>
    </row>
    <row r="11" spans="2:20" x14ac:dyDescent="0.3">
      <c r="B11" s="38">
        <v>5</v>
      </c>
      <c r="C11" s="38"/>
      <c r="D11" s="29"/>
      <c r="E11" s="30"/>
      <c r="F11" s="38"/>
      <c r="G11" s="38"/>
      <c r="H11" s="10"/>
      <c r="J11" s="25"/>
      <c r="S11" s="10"/>
      <c r="T11" s="10"/>
    </row>
    <row r="12" spans="2:20" x14ac:dyDescent="0.3">
      <c r="B12" s="41">
        <v>6</v>
      </c>
      <c r="C12" s="38"/>
      <c r="D12" s="29"/>
      <c r="E12" s="30"/>
      <c r="F12" s="38"/>
      <c r="G12" s="38"/>
      <c r="H12" s="10"/>
      <c r="J12" s="25"/>
      <c r="S12" s="10"/>
      <c r="T12" s="10"/>
    </row>
    <row r="13" spans="2:20" x14ac:dyDescent="0.3">
      <c r="B13" s="38">
        <v>7</v>
      </c>
      <c r="C13" s="38"/>
      <c r="D13" s="29"/>
      <c r="E13" s="30"/>
      <c r="F13" s="38"/>
      <c r="G13" s="38"/>
      <c r="H13" s="10"/>
      <c r="J13" s="25"/>
      <c r="S13" s="10"/>
      <c r="T13" s="10"/>
    </row>
    <row r="14" spans="2:20" x14ac:dyDescent="0.3">
      <c r="B14" s="41">
        <v>8</v>
      </c>
      <c r="C14" s="38"/>
      <c r="D14" s="29"/>
      <c r="E14" s="30"/>
      <c r="F14" s="38"/>
      <c r="G14" s="38"/>
      <c r="H14" s="10"/>
      <c r="J14" s="25"/>
      <c r="S14" s="10"/>
      <c r="T14" s="10"/>
    </row>
    <row r="15" spans="2:20" x14ac:dyDescent="0.3">
      <c r="B15" s="38">
        <v>9</v>
      </c>
      <c r="C15" s="38"/>
      <c r="D15" s="29"/>
      <c r="E15" s="30"/>
      <c r="F15" s="38"/>
      <c r="G15" s="38"/>
      <c r="H15" s="10"/>
      <c r="J15" s="25"/>
      <c r="S15" s="10"/>
      <c r="T15" s="10"/>
    </row>
    <row r="16" spans="2:20" x14ac:dyDescent="0.3">
      <c r="B16" s="41">
        <v>10</v>
      </c>
      <c r="C16" s="38"/>
      <c r="D16" s="29"/>
      <c r="E16" s="30"/>
      <c r="F16" s="38"/>
      <c r="G16" s="38"/>
      <c r="H16" s="10"/>
      <c r="J16" s="25"/>
      <c r="S16" s="10"/>
      <c r="T16" s="10"/>
    </row>
    <row r="17" spans="2:20" x14ac:dyDescent="0.3">
      <c r="B17" s="38">
        <v>11</v>
      </c>
      <c r="C17" s="38"/>
      <c r="D17" s="29"/>
      <c r="E17" s="30"/>
      <c r="F17" s="38"/>
      <c r="G17" s="38"/>
      <c r="H17" s="10"/>
      <c r="J17" s="25"/>
      <c r="S17" s="10"/>
      <c r="T17" s="10"/>
    </row>
    <row r="18" spans="2:20" x14ac:dyDescent="0.3">
      <c r="B18" s="41">
        <v>12</v>
      </c>
      <c r="C18" s="38"/>
      <c r="D18" s="29"/>
      <c r="E18" s="30"/>
      <c r="F18" s="38"/>
      <c r="G18" s="38"/>
      <c r="H18" s="10"/>
      <c r="J18" s="25"/>
      <c r="S18" s="10"/>
      <c r="T18" s="10"/>
    </row>
    <row r="19" spans="2:20" x14ac:dyDescent="0.3">
      <c r="B19" s="38">
        <v>13</v>
      </c>
      <c r="C19" s="38"/>
      <c r="D19" s="29"/>
      <c r="E19" s="30"/>
      <c r="F19" s="38"/>
      <c r="G19" s="38"/>
      <c r="H19" s="10"/>
      <c r="J19" s="25"/>
      <c r="S19" s="10"/>
      <c r="T19" s="10"/>
    </row>
    <row r="20" spans="2:20" x14ac:dyDescent="0.3">
      <c r="B20" s="41">
        <v>14</v>
      </c>
      <c r="C20" s="38"/>
      <c r="D20" s="29"/>
      <c r="E20" s="30"/>
      <c r="F20" s="38"/>
      <c r="G20" s="38"/>
      <c r="H20" s="10"/>
      <c r="J20" s="25"/>
      <c r="S20" s="10"/>
      <c r="T20" s="10"/>
    </row>
    <row r="21" spans="2:20" x14ac:dyDescent="0.3">
      <c r="B21" s="38">
        <v>15</v>
      </c>
      <c r="C21" s="38"/>
      <c r="D21" s="29"/>
      <c r="E21" s="30"/>
      <c r="F21" s="38"/>
      <c r="G21" s="38"/>
      <c r="H21" s="10"/>
      <c r="J21" s="25"/>
      <c r="S21" s="10"/>
      <c r="T21" s="10"/>
    </row>
    <row r="22" spans="2:20" x14ac:dyDescent="0.3">
      <c r="B22" s="41">
        <v>16</v>
      </c>
      <c r="C22" s="38"/>
      <c r="D22" s="29"/>
      <c r="E22" s="30"/>
      <c r="F22" s="38"/>
      <c r="G22" s="38"/>
      <c r="H22" s="10"/>
      <c r="J22" s="25"/>
      <c r="S22" s="10"/>
      <c r="T22" s="10"/>
    </row>
    <row r="23" spans="2:20" x14ac:dyDescent="0.3">
      <c r="B23" s="38">
        <v>17</v>
      </c>
      <c r="C23" s="38"/>
      <c r="D23" s="29"/>
      <c r="E23" s="30"/>
      <c r="F23" s="38"/>
      <c r="G23" s="38"/>
      <c r="J23" s="25"/>
    </row>
    <row r="24" spans="2:20" x14ac:dyDescent="0.3">
      <c r="B24" s="41">
        <v>18</v>
      </c>
      <c r="C24" s="38"/>
      <c r="D24" s="38"/>
      <c r="E24" s="30"/>
      <c r="F24" s="38"/>
      <c r="G24" s="38"/>
      <c r="J24" s="25"/>
    </row>
    <row r="25" spans="2:20" x14ac:dyDescent="0.3">
      <c r="B25" s="38">
        <v>19</v>
      </c>
      <c r="C25" s="38"/>
      <c r="D25" s="38"/>
      <c r="E25" s="30"/>
      <c r="F25" s="38"/>
      <c r="G25" s="38"/>
      <c r="J25" s="25"/>
    </row>
    <row r="26" spans="2:20" x14ac:dyDescent="0.3">
      <c r="B26" s="41">
        <v>20</v>
      </c>
      <c r="C26" s="38"/>
      <c r="D26" s="38"/>
      <c r="E26" s="30"/>
      <c r="F26" s="38"/>
      <c r="G26" s="38"/>
      <c r="J26" s="25"/>
    </row>
    <row r="27" spans="2:20" x14ac:dyDescent="0.3">
      <c r="B27" s="38">
        <v>21</v>
      </c>
      <c r="C27" s="38"/>
      <c r="D27" s="38"/>
      <c r="E27" s="30"/>
      <c r="F27" s="38"/>
      <c r="G27" s="38"/>
      <c r="J27" s="25"/>
    </row>
    <row r="28" spans="2:20" x14ac:dyDescent="0.3">
      <c r="B28" s="41">
        <v>22</v>
      </c>
      <c r="C28" s="38"/>
      <c r="D28" s="38"/>
      <c r="E28" s="30"/>
      <c r="F28" s="38"/>
      <c r="G28" s="38"/>
      <c r="J28" s="25"/>
    </row>
    <row r="29" spans="2:20" x14ac:dyDescent="0.3">
      <c r="B29" s="38">
        <v>23</v>
      </c>
      <c r="C29" s="38"/>
      <c r="D29" s="38"/>
      <c r="E29" s="30"/>
      <c r="F29" s="38"/>
      <c r="G29" s="38"/>
      <c r="J29" s="25"/>
    </row>
    <row r="30" spans="2:20" x14ac:dyDescent="0.3">
      <c r="B30" s="41">
        <v>24</v>
      </c>
      <c r="C30" s="38"/>
      <c r="D30" s="38"/>
      <c r="E30" s="30"/>
      <c r="F30" s="38"/>
      <c r="G30" s="38"/>
      <c r="J30" s="25"/>
    </row>
    <row r="31" spans="2:20" x14ac:dyDescent="0.3">
      <c r="B31" s="38">
        <v>25</v>
      </c>
      <c r="C31" s="38"/>
      <c r="D31" s="38"/>
      <c r="E31" s="30"/>
      <c r="F31" s="38"/>
      <c r="G31" s="38"/>
      <c r="J31" s="25"/>
    </row>
    <row r="32" spans="2:20" x14ac:dyDescent="0.3">
      <c r="B32" s="41">
        <v>26</v>
      </c>
      <c r="C32" s="38"/>
      <c r="D32" s="31"/>
      <c r="E32" s="32"/>
      <c r="F32" s="38"/>
      <c r="G32" s="38"/>
      <c r="J32" s="25"/>
      <c r="M32" s="10"/>
      <c r="N32" s="10"/>
      <c r="O32" s="10"/>
      <c r="P32" s="10"/>
      <c r="Q32" s="10"/>
    </row>
    <row r="33" spans="2:19" x14ac:dyDescent="0.3">
      <c r="B33" s="38">
        <v>27</v>
      </c>
      <c r="C33" s="38"/>
      <c r="D33" s="38"/>
      <c r="E33" s="30"/>
      <c r="F33" s="38"/>
      <c r="G33" s="29"/>
      <c r="H33" s="10"/>
      <c r="N33" s="10"/>
      <c r="O33" s="10"/>
    </row>
    <row r="34" spans="2:19" x14ac:dyDescent="0.3">
      <c r="B34" s="41">
        <v>28</v>
      </c>
      <c r="C34" s="38"/>
      <c r="D34" s="38"/>
      <c r="E34" s="30"/>
      <c r="F34" s="38"/>
      <c r="G34" s="38"/>
      <c r="J34" s="25"/>
      <c r="M34" s="10"/>
      <c r="N34" s="10"/>
      <c r="O34" s="10"/>
      <c r="P34" s="10"/>
      <c r="Q34" s="10"/>
      <c r="R34" s="10"/>
      <c r="S34" s="10"/>
    </row>
    <row r="35" spans="2:19" x14ac:dyDescent="0.3">
      <c r="B35" s="38">
        <v>29</v>
      </c>
      <c r="C35" s="38"/>
      <c r="D35" s="31"/>
      <c r="E35" s="32"/>
      <c r="F35" s="38"/>
      <c r="G35" s="29"/>
      <c r="H35" s="10"/>
      <c r="M35" s="10"/>
      <c r="N35" s="10"/>
      <c r="O35" s="10"/>
      <c r="P35" s="10"/>
      <c r="Q35" s="10"/>
      <c r="R35" s="10"/>
      <c r="S35" s="10"/>
    </row>
    <row r="36" spans="2:19" x14ac:dyDescent="0.3">
      <c r="B36" s="41">
        <v>30</v>
      </c>
      <c r="C36" s="38"/>
      <c r="D36" s="38"/>
      <c r="E36" s="30"/>
      <c r="F36" s="38"/>
      <c r="G36" s="29"/>
      <c r="H36" s="10"/>
      <c r="P36" s="10"/>
      <c r="Q36" s="10"/>
      <c r="R36" s="10"/>
      <c r="S36" s="10"/>
    </row>
    <row r="37" spans="2:19" x14ac:dyDescent="0.3">
      <c r="B37" s="38">
        <v>31</v>
      </c>
      <c r="C37" s="38"/>
      <c r="D37" s="31"/>
      <c r="E37" s="32"/>
      <c r="F37" s="38"/>
      <c r="G37" s="29"/>
      <c r="H37" s="10"/>
      <c r="N37" s="10"/>
      <c r="O37" s="10"/>
    </row>
    <row r="38" spans="2:19" x14ac:dyDescent="0.3">
      <c r="B38" s="41">
        <v>32</v>
      </c>
      <c r="C38" s="38"/>
      <c r="D38" s="38"/>
      <c r="E38" s="32"/>
      <c r="F38" s="38"/>
      <c r="G38" s="38"/>
      <c r="J38" s="25"/>
      <c r="M38" s="10"/>
      <c r="N38" s="10"/>
      <c r="O38" s="10"/>
      <c r="P38" s="10"/>
      <c r="Q38" s="10"/>
      <c r="R38" s="10"/>
      <c r="S38" s="10"/>
    </row>
    <row r="39" spans="2:19" x14ac:dyDescent="0.3">
      <c r="B39" s="38">
        <v>33</v>
      </c>
      <c r="C39" s="38"/>
      <c r="D39" s="38"/>
      <c r="E39" s="32"/>
      <c r="F39" s="38"/>
      <c r="G39" s="38"/>
      <c r="J39" s="25"/>
      <c r="M39" s="10"/>
      <c r="N39" s="10"/>
      <c r="O39" s="10"/>
      <c r="P39" s="10"/>
      <c r="Q39" s="10"/>
      <c r="R39" s="10"/>
      <c r="S39" s="10"/>
    </row>
    <row r="40" spans="2:19" x14ac:dyDescent="0.3">
      <c r="B40" s="41">
        <v>34</v>
      </c>
      <c r="C40" s="38"/>
      <c r="D40" s="38"/>
      <c r="E40" s="30"/>
      <c r="F40" s="38"/>
      <c r="G40" s="38"/>
      <c r="H40" s="10"/>
      <c r="I40" s="10"/>
      <c r="N40" s="10"/>
      <c r="O40" s="10"/>
    </row>
    <row r="41" spans="2:19" x14ac:dyDescent="0.3">
      <c r="B41" s="38">
        <v>35</v>
      </c>
      <c r="C41" s="38"/>
      <c r="D41" s="31"/>
      <c r="E41" s="33"/>
      <c r="F41" s="38"/>
      <c r="G41" s="29"/>
      <c r="H41" s="10"/>
    </row>
    <row r="42" spans="2:19" x14ac:dyDescent="0.3">
      <c r="B42" s="41">
        <v>36</v>
      </c>
      <c r="C42" s="38"/>
      <c r="D42" s="31"/>
      <c r="E42" s="33"/>
      <c r="F42" s="38"/>
      <c r="G42" s="29"/>
    </row>
    <row r="43" spans="2:19" x14ac:dyDescent="0.3">
      <c r="B43" s="38">
        <v>37</v>
      </c>
      <c r="C43" s="38"/>
      <c r="D43" s="31"/>
      <c r="E43" s="33"/>
      <c r="F43" s="38"/>
      <c r="G43" s="38"/>
    </row>
    <row r="44" spans="2:19" s="2" customFormat="1" x14ac:dyDescent="0.3">
      <c r="B44" s="41">
        <v>38</v>
      </c>
      <c r="C44" s="38"/>
      <c r="D44" s="31"/>
      <c r="E44" s="33"/>
      <c r="F44" s="38"/>
      <c r="G44" s="34"/>
      <c r="L44" s="3"/>
    </row>
    <row r="45" spans="2:19" x14ac:dyDescent="0.3">
      <c r="B45" s="38">
        <v>39</v>
      </c>
      <c r="C45" s="38"/>
      <c r="D45" s="31"/>
      <c r="E45" s="33"/>
      <c r="F45" s="29"/>
      <c r="G45" s="38"/>
      <c r="I45" s="10"/>
      <c r="J45" s="10"/>
      <c r="K45" s="10"/>
      <c r="L45" s="10"/>
    </row>
    <row r="46" spans="2:19" x14ac:dyDescent="0.3">
      <c r="B46" s="41">
        <v>40</v>
      </c>
      <c r="C46" s="38"/>
      <c r="D46" s="31"/>
      <c r="E46" s="33"/>
      <c r="F46" s="29"/>
      <c r="G46" s="29"/>
      <c r="I46" s="10"/>
      <c r="J46" s="10"/>
      <c r="K46" s="10"/>
      <c r="L46" s="25"/>
    </row>
    <row r="47" spans="2:19" x14ac:dyDescent="0.3">
      <c r="B47" s="38">
        <v>41</v>
      </c>
      <c r="C47" s="38"/>
      <c r="D47" s="31"/>
      <c r="E47" s="32"/>
      <c r="F47" s="29"/>
      <c r="G47" s="29"/>
      <c r="H47" s="10"/>
      <c r="I47" s="10"/>
      <c r="J47" s="10"/>
      <c r="K47" s="10"/>
      <c r="L47" s="10"/>
    </row>
    <row r="48" spans="2:19" x14ac:dyDescent="0.3">
      <c r="B48" s="41">
        <v>42</v>
      </c>
      <c r="C48" s="38"/>
      <c r="D48" s="31"/>
      <c r="E48" s="32"/>
      <c r="F48" s="29"/>
      <c r="G48" s="29"/>
      <c r="H48" s="10"/>
      <c r="I48" s="10"/>
      <c r="J48" s="10"/>
      <c r="K48" s="10"/>
      <c r="L48" s="25"/>
    </row>
    <row r="49" spans="2:13" x14ac:dyDescent="0.3">
      <c r="B49" s="38">
        <v>43</v>
      </c>
      <c r="C49" s="38"/>
      <c r="D49" s="31"/>
      <c r="E49" s="38"/>
      <c r="F49" s="29"/>
      <c r="G49" s="29"/>
      <c r="H49" s="10"/>
      <c r="I49" s="10"/>
      <c r="J49" s="10"/>
      <c r="K49" s="10"/>
      <c r="L49" s="25"/>
    </row>
    <row r="50" spans="2:13" x14ac:dyDescent="0.3">
      <c r="B50" s="41">
        <v>44</v>
      </c>
      <c r="C50" s="38"/>
      <c r="D50" s="31"/>
      <c r="E50" s="38"/>
      <c r="F50" s="29"/>
      <c r="G50" s="29"/>
      <c r="H50" s="10"/>
      <c r="I50" s="10"/>
      <c r="J50" s="10"/>
      <c r="K50" s="10"/>
      <c r="L50" s="25"/>
    </row>
    <row r="51" spans="2:13" x14ac:dyDescent="0.3">
      <c r="B51" s="38">
        <v>45</v>
      </c>
      <c r="C51" s="38"/>
      <c r="D51" s="31"/>
      <c r="E51" s="38"/>
      <c r="F51" s="29"/>
      <c r="G51" s="29"/>
      <c r="H51" s="19"/>
      <c r="I51" s="10"/>
      <c r="J51" s="10"/>
      <c r="K51" s="10"/>
      <c r="L51" s="25"/>
    </row>
    <row r="52" spans="2:13" x14ac:dyDescent="0.3">
      <c r="B52" s="41">
        <v>46</v>
      </c>
      <c r="C52" s="38"/>
      <c r="D52" s="31"/>
      <c r="E52" s="38"/>
      <c r="F52" s="29"/>
      <c r="G52" s="29"/>
      <c r="H52" s="10"/>
      <c r="I52" s="42"/>
      <c r="J52" s="10"/>
      <c r="K52" s="10"/>
      <c r="L52" s="25"/>
    </row>
    <row r="53" spans="2:13" x14ac:dyDescent="0.3">
      <c r="B53" s="38">
        <v>47</v>
      </c>
      <c r="C53" s="35"/>
      <c r="D53" s="36"/>
      <c r="E53" s="35"/>
      <c r="F53" s="37"/>
      <c r="G53" s="37"/>
      <c r="H53" s="4"/>
      <c r="I53" s="42"/>
      <c r="J53" s="10"/>
      <c r="K53" s="10"/>
      <c r="L53" s="10"/>
      <c r="M53" s="10"/>
    </row>
    <row r="54" spans="2:13" x14ac:dyDescent="0.3">
      <c r="B54" s="41">
        <v>48</v>
      </c>
      <c r="C54" s="38"/>
      <c r="D54" s="31"/>
      <c r="E54" s="38"/>
      <c r="F54" s="38"/>
      <c r="G54" s="38"/>
    </row>
    <row r="55" spans="2:13" x14ac:dyDescent="0.3">
      <c r="B55" s="38">
        <v>49</v>
      </c>
      <c r="C55" s="38"/>
      <c r="D55" s="31"/>
      <c r="E55" s="38"/>
      <c r="F55" s="38"/>
      <c r="G55" s="38"/>
    </row>
    <row r="56" spans="2:13" x14ac:dyDescent="0.3">
      <c r="B56" s="41">
        <v>50</v>
      </c>
      <c r="C56" s="38"/>
      <c r="D56" s="31"/>
      <c r="E56" s="38"/>
      <c r="F56" s="38"/>
      <c r="G56" s="38"/>
    </row>
    <row r="57" spans="2:13" x14ac:dyDescent="0.3">
      <c r="B57" s="38">
        <v>51</v>
      </c>
      <c r="C57" s="38"/>
      <c r="D57" s="31"/>
      <c r="E57" s="38"/>
      <c r="F57" s="38"/>
      <c r="G57" s="38"/>
    </row>
    <row r="58" spans="2:13" x14ac:dyDescent="0.3">
      <c r="B58" s="41">
        <v>52</v>
      </c>
      <c r="C58" s="38"/>
      <c r="D58" s="31"/>
      <c r="E58" s="38"/>
      <c r="F58" s="38"/>
      <c r="G58" s="38"/>
    </row>
    <row r="59" spans="2:13" x14ac:dyDescent="0.3">
      <c r="B59" s="38">
        <v>53</v>
      </c>
      <c r="C59" s="38"/>
      <c r="D59" s="31"/>
      <c r="E59" s="38"/>
      <c r="F59" s="38"/>
      <c r="G59" s="38"/>
    </row>
    <row r="60" spans="2:13" x14ac:dyDescent="0.3">
      <c r="B60" s="41">
        <v>54</v>
      </c>
      <c r="C60" s="38"/>
      <c r="D60" s="31"/>
      <c r="E60" s="38"/>
      <c r="F60" s="38"/>
      <c r="G60" s="38"/>
    </row>
    <row r="61" spans="2:13" x14ac:dyDescent="0.3">
      <c r="B61" s="38">
        <v>55</v>
      </c>
      <c r="C61" s="38"/>
      <c r="D61" s="31"/>
      <c r="E61" s="38"/>
      <c r="F61" s="38"/>
      <c r="G61" s="38"/>
    </row>
    <row r="62" spans="2:13" x14ac:dyDescent="0.3">
      <c r="B62" s="41">
        <v>56</v>
      </c>
      <c r="C62" s="38"/>
      <c r="D62" s="31"/>
      <c r="E62" s="38"/>
      <c r="F62" s="38"/>
      <c r="G62" s="38"/>
    </row>
    <row r="63" spans="2:13" x14ac:dyDescent="0.3">
      <c r="B63" s="38">
        <v>57</v>
      </c>
      <c r="C63" s="38"/>
      <c r="D63" s="31"/>
      <c r="E63" s="38"/>
      <c r="F63" s="38"/>
      <c r="G63" s="38"/>
    </row>
    <row r="64" spans="2:13" x14ac:dyDescent="0.3">
      <c r="B64" s="41">
        <v>58</v>
      </c>
      <c r="C64" s="38"/>
      <c r="D64" s="31"/>
      <c r="E64" s="38"/>
      <c r="F64" s="38"/>
      <c r="G64" s="38"/>
    </row>
    <row r="65" spans="2:7" x14ac:dyDescent="0.3">
      <c r="B65" s="38">
        <v>59</v>
      </c>
      <c r="C65" s="38"/>
      <c r="D65" s="31"/>
      <c r="E65" s="38"/>
      <c r="F65" s="38"/>
      <c r="G65" s="38"/>
    </row>
    <row r="66" spans="2:7" x14ac:dyDescent="0.3">
      <c r="B66" s="41">
        <v>60</v>
      </c>
      <c r="C66" s="38"/>
      <c r="D66" s="31"/>
      <c r="E66" s="38"/>
      <c r="F66" s="38"/>
      <c r="G66" s="38"/>
    </row>
    <row r="67" spans="2:7" x14ac:dyDescent="0.3">
      <c r="B67" s="38">
        <v>61</v>
      </c>
      <c r="C67" s="38"/>
      <c r="D67" s="31"/>
      <c r="E67" s="38"/>
      <c r="F67" s="38"/>
      <c r="G67" s="38"/>
    </row>
    <row r="68" spans="2:7" x14ac:dyDescent="0.3">
      <c r="B68" s="41">
        <v>62</v>
      </c>
      <c r="C68" s="38"/>
      <c r="D68" s="31"/>
      <c r="E68" s="38"/>
      <c r="F68" s="38"/>
      <c r="G68" s="38"/>
    </row>
    <row r="69" spans="2:7" x14ac:dyDescent="0.3">
      <c r="B69" s="38">
        <v>63</v>
      </c>
      <c r="C69" s="38"/>
      <c r="D69" s="31"/>
      <c r="E69" s="38"/>
      <c r="F69" s="38"/>
      <c r="G69" s="38"/>
    </row>
    <row r="70" spans="2:7" x14ac:dyDescent="0.3">
      <c r="B70" s="41">
        <v>64</v>
      </c>
      <c r="C70" s="38"/>
      <c r="D70" s="31"/>
      <c r="E70" s="38"/>
      <c r="F70" s="38"/>
      <c r="G70" s="38"/>
    </row>
    <row r="71" spans="2:7" x14ac:dyDescent="0.3">
      <c r="B71" s="38">
        <v>65</v>
      </c>
      <c r="C71" s="38"/>
      <c r="D71" s="31"/>
      <c r="E71" s="38"/>
      <c r="F71" s="38"/>
      <c r="G71" s="38"/>
    </row>
    <row r="72" spans="2:7" x14ac:dyDescent="0.3">
      <c r="B72" s="41">
        <v>66</v>
      </c>
      <c r="C72" s="38"/>
      <c r="D72" s="31"/>
      <c r="E72" s="38"/>
      <c r="F72" s="38"/>
      <c r="G72" s="38"/>
    </row>
    <row r="73" spans="2:7" x14ac:dyDescent="0.3">
      <c r="B73" s="38">
        <v>67</v>
      </c>
      <c r="C73" s="38"/>
      <c r="D73" s="31"/>
      <c r="E73" s="38"/>
      <c r="F73" s="38"/>
      <c r="G73" s="38"/>
    </row>
    <row r="74" spans="2:7" x14ac:dyDescent="0.3">
      <c r="B74" s="41">
        <v>68</v>
      </c>
      <c r="C74" s="38"/>
      <c r="D74" s="31"/>
      <c r="E74" s="38"/>
      <c r="F74" s="38"/>
      <c r="G74" s="38"/>
    </row>
    <row r="75" spans="2:7" x14ac:dyDescent="0.3">
      <c r="B75" s="38">
        <v>69</v>
      </c>
      <c r="C75" s="38"/>
      <c r="D75" s="31"/>
      <c r="E75" s="38"/>
      <c r="F75" s="38"/>
      <c r="G75" s="38"/>
    </row>
    <row r="76" spans="2:7" x14ac:dyDescent="0.3">
      <c r="B76" s="41">
        <v>70</v>
      </c>
      <c r="C76" s="38"/>
      <c r="D76" s="31"/>
      <c r="E76" s="38"/>
      <c r="F76" s="38"/>
      <c r="G76" s="38"/>
    </row>
    <row r="77" spans="2:7" x14ac:dyDescent="0.3">
      <c r="B77" s="38">
        <v>71</v>
      </c>
      <c r="C77" s="38"/>
      <c r="D77" s="31"/>
      <c r="E77" s="38"/>
      <c r="F77" s="38"/>
      <c r="G77" s="38"/>
    </row>
    <row r="78" spans="2:7" x14ac:dyDescent="0.3">
      <c r="B78" s="41">
        <v>72</v>
      </c>
      <c r="C78" s="38"/>
      <c r="D78" s="31"/>
      <c r="E78" s="38"/>
      <c r="F78" s="38"/>
      <c r="G78" s="38"/>
    </row>
    <row r="79" spans="2:7" x14ac:dyDescent="0.3">
      <c r="B79" s="38">
        <v>73</v>
      </c>
      <c r="C79" s="38"/>
      <c r="D79" s="31"/>
      <c r="E79" s="38"/>
      <c r="F79" s="38"/>
      <c r="G79" s="38"/>
    </row>
    <row r="80" spans="2:7" x14ac:dyDescent="0.3">
      <c r="B80" s="41">
        <v>74</v>
      </c>
      <c r="C80" s="38"/>
      <c r="D80" s="31"/>
      <c r="E80" s="38"/>
      <c r="F80" s="38"/>
      <c r="G80" s="38"/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3"/>
  <dimension ref="B2:X59"/>
  <sheetViews>
    <sheetView workbookViewId="0">
      <selection activeCell="C7" sqref="C7"/>
    </sheetView>
  </sheetViews>
  <sheetFormatPr baseColWidth="10" defaultRowHeight="14.4" x14ac:dyDescent="0.3"/>
  <cols>
    <col min="2" max="12" width="20.77734375" style="39" customWidth="1"/>
  </cols>
  <sheetData>
    <row r="2" spans="2:24" x14ac:dyDescent="0.3">
      <c r="B2" s="25" t="s">
        <v>16</v>
      </c>
      <c r="C2" s="23">
        <v>1</v>
      </c>
      <c r="D2" s="23">
        <v>2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</row>
    <row r="3" spans="2:24" s="20" customFormat="1" ht="30" customHeight="1" x14ac:dyDescent="0.3">
      <c r="B3" s="51" t="s">
        <v>17</v>
      </c>
      <c r="C3" s="26" t="s">
        <v>25</v>
      </c>
      <c r="D3" s="26" t="s">
        <v>24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</row>
    <row r="4" spans="2:24" ht="55.8" customHeight="1" x14ac:dyDescent="0.3">
      <c r="B4" s="9" t="s">
        <v>26</v>
      </c>
      <c r="C4" s="26"/>
      <c r="D4" s="26"/>
      <c r="E4" s="26"/>
      <c r="F4" s="27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</row>
    <row r="5" spans="2:24" x14ac:dyDescent="0.3">
      <c r="B5" s="25" t="str">
        <f>IF(Deltagere!A1&gt;0,Deltagere!A1,"")</f>
        <v>Bob</v>
      </c>
      <c r="C5" s="38">
        <v>2</v>
      </c>
      <c r="D5" s="38">
        <v>1</v>
      </c>
      <c r="E5" s="38"/>
      <c r="F5" s="46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</row>
    <row r="6" spans="2:24" x14ac:dyDescent="0.3">
      <c r="B6" s="25" t="str">
        <f>IF(Deltagere!A2&gt;0,Deltagere!A2,"")</f>
        <v>Alice</v>
      </c>
      <c r="C6" s="38">
        <v>1</v>
      </c>
      <c r="D6" s="38">
        <v>1</v>
      </c>
      <c r="E6" s="38"/>
      <c r="F6" s="46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</row>
    <row r="7" spans="2:24" x14ac:dyDescent="0.3">
      <c r="B7" s="25" t="str">
        <f>IF(Deltagere!A3&gt;0,Deltagere!A3,"")</f>
        <v>Charlie</v>
      </c>
      <c r="C7" s="38">
        <v>2</v>
      </c>
      <c r="D7" s="38">
        <v>0</v>
      </c>
      <c r="E7" s="38"/>
      <c r="F7" s="46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</row>
    <row r="8" spans="2:24" x14ac:dyDescent="0.3">
      <c r="B8" s="25" t="str">
        <f>IF(Deltagere!A4&gt;0,Deltagere!A4,"")</f>
        <v/>
      </c>
      <c r="C8" s="38"/>
      <c r="D8" s="38"/>
      <c r="E8" s="38"/>
      <c r="F8" s="46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</row>
    <row r="9" spans="2:24" x14ac:dyDescent="0.3">
      <c r="B9" s="25" t="str">
        <f>IF(Deltagere!A5&gt;0,Deltagere!A5,"")</f>
        <v/>
      </c>
      <c r="C9" s="38"/>
      <c r="D9" s="38"/>
      <c r="E9" s="38"/>
      <c r="F9" s="46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</row>
    <row r="10" spans="2:24" x14ac:dyDescent="0.3">
      <c r="B10" s="25" t="str">
        <f>IF(Deltagere!A6&gt;0,Deltagere!A6,"")</f>
        <v/>
      </c>
      <c r="C10" s="38"/>
      <c r="D10" s="38"/>
      <c r="E10" s="38"/>
      <c r="F10" s="46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</row>
    <row r="11" spans="2:24" x14ac:dyDescent="0.3">
      <c r="B11" s="25" t="str">
        <f>IF(Deltagere!A7&gt;0,Deltagere!A7,"")</f>
        <v/>
      </c>
      <c r="C11" s="38"/>
      <c r="D11" s="38"/>
      <c r="E11" s="29"/>
      <c r="F11" s="47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</row>
    <row r="12" spans="2:24" x14ac:dyDescent="0.3">
      <c r="B12" s="25" t="str">
        <f>IF(Deltagere!A8&gt;0,Deltagere!A8,"")</f>
        <v/>
      </c>
      <c r="C12" s="38"/>
      <c r="D12" s="38"/>
      <c r="E12" s="29"/>
      <c r="F12" s="47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</row>
    <row r="13" spans="2:24" x14ac:dyDescent="0.3">
      <c r="B13" s="25" t="str">
        <f>IF(Deltagere!A9&gt;0,Deltagere!A9,"")</f>
        <v/>
      </c>
      <c r="C13" s="38"/>
      <c r="D13" s="38"/>
      <c r="E13" s="29"/>
      <c r="F13" s="47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</row>
    <row r="14" spans="2:24" x14ac:dyDescent="0.3">
      <c r="B14" s="25" t="str">
        <f>IF(Deltagere!A10&gt;0,Deltagere!A10,"")</f>
        <v/>
      </c>
      <c r="C14" s="38"/>
      <c r="D14" s="38"/>
      <c r="E14" s="38"/>
      <c r="F14" s="46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</row>
    <row r="15" spans="2:24" x14ac:dyDescent="0.3">
      <c r="B15" s="25" t="str">
        <f>IF(Deltagere!A11&gt;0,Deltagere!A11,"")</f>
        <v/>
      </c>
      <c r="C15" s="38"/>
      <c r="D15" s="38"/>
      <c r="E15" s="38"/>
      <c r="F15" s="46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</row>
    <row r="16" spans="2:24" x14ac:dyDescent="0.3">
      <c r="B16" s="25" t="str">
        <f>IF(Deltagere!A12&gt;0,Deltagere!A12,"")</f>
        <v/>
      </c>
      <c r="C16" s="38"/>
      <c r="D16" s="38"/>
      <c r="E16" s="38"/>
      <c r="F16" s="46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</row>
    <row r="17" spans="2:24" x14ac:dyDescent="0.3">
      <c r="B17" s="25" t="str">
        <f>IF(Deltagere!A13&gt;0,Deltagere!A13,"")</f>
        <v/>
      </c>
      <c r="C17" s="38"/>
      <c r="D17" s="38"/>
      <c r="E17" s="38"/>
      <c r="F17" s="46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</row>
    <row r="18" spans="2:24" x14ac:dyDescent="0.3">
      <c r="B18" s="25" t="str">
        <f>IF(Deltagere!A14&gt;0,Deltagere!A14,"")</f>
        <v/>
      </c>
      <c r="C18" s="38"/>
      <c r="D18" s="38"/>
      <c r="E18" s="38"/>
      <c r="F18" s="46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</row>
    <row r="19" spans="2:24" x14ac:dyDescent="0.3">
      <c r="B19" s="25" t="str">
        <f>IF(Deltagere!A15&gt;0,Deltagere!A15,"")</f>
        <v/>
      </c>
      <c r="C19" s="38"/>
      <c r="D19" s="38"/>
      <c r="E19" s="38"/>
      <c r="F19" s="46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</row>
    <row r="20" spans="2:24" x14ac:dyDescent="0.3">
      <c r="B20" s="25" t="str">
        <f>IF(Deltagere!A16&gt;0,Deltagere!A16,"")</f>
        <v/>
      </c>
      <c r="C20" s="38"/>
      <c r="D20" s="38"/>
      <c r="E20" s="38"/>
      <c r="F20" s="46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</row>
    <row r="21" spans="2:24" x14ac:dyDescent="0.3">
      <c r="B21" s="25" t="str">
        <f>IF(Deltagere!A17&gt;0,Deltagere!A17,"")</f>
        <v/>
      </c>
      <c r="C21" s="38"/>
      <c r="D21" s="38"/>
      <c r="E21" s="38"/>
      <c r="F21" s="46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</row>
    <row r="22" spans="2:24" x14ac:dyDescent="0.3">
      <c r="B22" s="25" t="str">
        <f>IF(Deltagere!A18&gt;0,Deltagere!A18,"")</f>
        <v/>
      </c>
      <c r="C22" s="38"/>
      <c r="D22" s="38"/>
      <c r="E22" s="38"/>
      <c r="F22" s="46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</row>
    <row r="23" spans="2:24" x14ac:dyDescent="0.3">
      <c r="B23" s="25" t="str">
        <f>IF(Deltagere!A19&gt;0,Deltagere!A19,"")</f>
        <v/>
      </c>
      <c r="C23" s="38"/>
      <c r="D23" s="38"/>
      <c r="E23" s="38"/>
      <c r="F23" s="46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</row>
    <row r="24" spans="2:24" x14ac:dyDescent="0.3">
      <c r="B24" s="25" t="str">
        <f>IF(Deltagere!A20&gt;0,Deltagere!A20,"")</f>
        <v/>
      </c>
      <c r="C24" s="38"/>
      <c r="D24" s="38"/>
      <c r="E24" s="38"/>
      <c r="F24" s="46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</row>
    <row r="25" spans="2:24" x14ac:dyDescent="0.3">
      <c r="B25" s="25" t="str">
        <f>IF(Deltagere!A21&gt;0,Deltagere!A21,"")</f>
        <v/>
      </c>
      <c r="C25" s="38"/>
      <c r="D25" s="38"/>
      <c r="E25" s="38"/>
      <c r="F25" s="46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</row>
    <row r="26" spans="2:24" x14ac:dyDescent="0.3">
      <c r="B26" s="25" t="str">
        <f>IF(Deltagere!A22&gt;0,Deltagere!A22,"")</f>
        <v/>
      </c>
      <c r="C26" s="38"/>
      <c r="D26" s="38"/>
      <c r="E26" s="38"/>
      <c r="F26" s="46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</row>
    <row r="27" spans="2:24" x14ac:dyDescent="0.3">
      <c r="B27" s="25" t="str">
        <f>IF(Deltagere!A23&gt;0,Deltagere!A23,"")</f>
        <v/>
      </c>
      <c r="C27" s="38"/>
      <c r="D27" s="38"/>
      <c r="E27" s="38"/>
      <c r="F27" s="46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</row>
    <row r="28" spans="2:24" x14ac:dyDescent="0.3">
      <c r="B28" s="25" t="str">
        <f>IF(Deltagere!A24&gt;0,Deltagere!A24,"")</f>
        <v/>
      </c>
      <c r="C28" s="38"/>
      <c r="D28" s="38"/>
      <c r="E28" s="38"/>
      <c r="F28" s="46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</row>
    <row r="29" spans="2:24" x14ac:dyDescent="0.3">
      <c r="B29" s="25" t="str">
        <f>IF(Deltagere!A25&gt;0,Deltagere!A25,"")</f>
        <v/>
      </c>
      <c r="C29" s="38"/>
      <c r="D29" s="38"/>
      <c r="E29" s="38"/>
      <c r="F29" s="46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</row>
    <row r="30" spans="2:24" x14ac:dyDescent="0.3">
      <c r="B30" s="25" t="str">
        <f>IF(Deltagere!A26&gt;0,Deltagere!A26,"")</f>
        <v/>
      </c>
      <c r="C30" s="38"/>
      <c r="D30" s="38"/>
      <c r="E30" s="38"/>
      <c r="F30" s="46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</row>
    <row r="31" spans="2:24" x14ac:dyDescent="0.3">
      <c r="B31" s="25" t="str">
        <f>IF(Deltagere!A27&gt;0,Deltagere!A27,"")</f>
        <v/>
      </c>
      <c r="C31" s="38"/>
      <c r="D31" s="38"/>
      <c r="E31" s="38"/>
      <c r="F31" s="46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</row>
    <row r="32" spans="2:24" x14ac:dyDescent="0.3">
      <c r="B32" s="25" t="str">
        <f>IF(Deltagere!A28&gt;0,Deltagere!A28,"")</f>
        <v/>
      </c>
      <c r="C32" s="38"/>
      <c r="D32" s="38"/>
      <c r="E32" s="38"/>
      <c r="F32" s="46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</row>
    <row r="33" spans="2:24" x14ac:dyDescent="0.3">
      <c r="B33" s="25" t="str">
        <f>IF(Deltagere!A29&gt;0,Deltagere!A29,"")</f>
        <v/>
      </c>
      <c r="C33" s="38"/>
      <c r="D33" s="38"/>
      <c r="E33" s="38"/>
      <c r="F33" s="46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</row>
    <row r="34" spans="2:24" x14ac:dyDescent="0.3">
      <c r="B34" s="25" t="str">
        <f>IF(Deltagere!A30&gt;0,Deltagere!A30,"")</f>
        <v/>
      </c>
      <c r="C34" s="38"/>
      <c r="D34" s="38"/>
      <c r="E34" s="38"/>
      <c r="F34" s="46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</row>
    <row r="35" spans="2:24" x14ac:dyDescent="0.3">
      <c r="B35" s="25" t="str">
        <f>IF(Deltagere!A31&gt;0,Deltagere!A31,"")</f>
        <v/>
      </c>
      <c r="C35" s="38"/>
      <c r="D35" s="38"/>
      <c r="E35" s="38"/>
      <c r="F35" s="46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</row>
    <row r="36" spans="2:24" x14ac:dyDescent="0.3">
      <c r="B36" s="25" t="str">
        <f>IF(Deltagere!A32&gt;0,Deltagere!A32,"")</f>
        <v/>
      </c>
      <c r="C36" s="38"/>
      <c r="D36" s="38"/>
      <c r="E36" s="38"/>
      <c r="F36" s="46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</row>
    <row r="37" spans="2:24" x14ac:dyDescent="0.3">
      <c r="B37" s="25" t="str">
        <f>IF(Deltagere!A33&gt;0,Deltagere!A33,"")</f>
        <v/>
      </c>
      <c r="C37" s="38"/>
      <c r="D37" s="38"/>
      <c r="E37" s="38"/>
      <c r="F37" s="46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</row>
    <row r="38" spans="2:24" x14ac:dyDescent="0.3">
      <c r="B38" s="25" t="str">
        <f>IF(Deltagere!A34&gt;0,Deltagere!A34,"")</f>
        <v/>
      </c>
      <c r="C38" s="38"/>
      <c r="D38" s="38"/>
      <c r="E38" s="38"/>
      <c r="F38" s="46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</row>
    <row r="39" spans="2:24" x14ac:dyDescent="0.3">
      <c r="B39" s="25" t="str">
        <f>IF(Deltagere!A35&gt;0,Deltagere!A35,"")</f>
        <v/>
      </c>
      <c r="C39" s="38"/>
      <c r="D39" s="38"/>
      <c r="E39" s="38"/>
      <c r="F39" s="46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</row>
    <row r="40" spans="2:24" x14ac:dyDescent="0.3">
      <c r="B40" s="25" t="str">
        <f>IF(Deltagere!A36&gt;0,Deltagere!A36,"")</f>
        <v/>
      </c>
      <c r="C40" s="38"/>
      <c r="D40" s="38"/>
      <c r="E40" s="38"/>
      <c r="F40" s="46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</row>
    <row r="41" spans="2:24" x14ac:dyDescent="0.3">
      <c r="B41" s="25" t="str">
        <f>IF(Deltagere!A37&gt;0,Deltagere!A37,"")</f>
        <v/>
      </c>
      <c r="C41" s="38"/>
      <c r="D41" s="38"/>
      <c r="E41" s="38"/>
      <c r="F41" s="46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</row>
    <row r="42" spans="2:24" x14ac:dyDescent="0.3">
      <c r="B42" s="25" t="str">
        <f>IF(Deltagere!A38&gt;0,Deltagere!A38,"")</f>
        <v/>
      </c>
      <c r="C42" s="38"/>
      <c r="D42" s="38"/>
      <c r="E42" s="38"/>
      <c r="F42" s="46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</row>
    <row r="43" spans="2:24" x14ac:dyDescent="0.3">
      <c r="B43" s="25" t="str">
        <f>IF(Deltagere!A39&gt;0,Deltagere!A39,"")</f>
        <v/>
      </c>
      <c r="C43" s="38"/>
      <c r="D43" s="38"/>
      <c r="E43" s="38"/>
      <c r="F43" s="46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</row>
    <row r="44" spans="2:24" x14ac:dyDescent="0.3">
      <c r="B44" s="25" t="str">
        <f>IF(Deltagere!A40&gt;0,Deltagere!A40,"")</f>
        <v/>
      </c>
      <c r="C44" s="38"/>
      <c r="D44" s="38"/>
      <c r="E44" s="38"/>
      <c r="F44" s="46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</row>
    <row r="45" spans="2:24" x14ac:dyDescent="0.3">
      <c r="B45" s="25" t="str">
        <f>IF(Deltagere!A41&gt;0,Deltagere!A41,"")</f>
        <v/>
      </c>
      <c r="C45" s="38"/>
      <c r="D45" s="38"/>
      <c r="E45" s="38"/>
      <c r="F45" s="46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</row>
    <row r="46" spans="2:24" x14ac:dyDescent="0.3">
      <c r="B46" s="25" t="str">
        <f>IF(Deltagere!A42&gt;0,Deltagere!A42,"")</f>
        <v/>
      </c>
      <c r="C46" s="38"/>
      <c r="D46" s="38"/>
      <c r="E46" s="38"/>
      <c r="F46" s="46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</row>
    <row r="47" spans="2:24" x14ac:dyDescent="0.3">
      <c r="B47" s="25" t="str">
        <f>IF(Deltagere!A43&gt;0,Deltagere!A43,"")</f>
        <v/>
      </c>
      <c r="C47" s="38"/>
      <c r="D47" s="38"/>
      <c r="E47" s="38"/>
      <c r="F47" s="46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</row>
    <row r="48" spans="2:24" x14ac:dyDescent="0.3">
      <c r="B48" s="25" t="str">
        <f>IF(Deltagere!A44&gt;0,Deltagere!A44,"")</f>
        <v/>
      </c>
      <c r="C48" s="38"/>
      <c r="D48" s="38"/>
      <c r="E48" s="38"/>
      <c r="F48" s="46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</row>
    <row r="49" spans="2:24" x14ac:dyDescent="0.3">
      <c r="B49" s="6" t="s">
        <v>15</v>
      </c>
      <c r="C49" s="38">
        <f t="shared" ref="C49:X49" si="0">SUM(C5:C48)</f>
        <v>5</v>
      </c>
      <c r="D49" s="38">
        <f t="shared" si="0"/>
        <v>2</v>
      </c>
      <c r="E49" s="38">
        <f t="shared" si="0"/>
        <v>0</v>
      </c>
      <c r="F49" s="38">
        <f t="shared" si="0"/>
        <v>0</v>
      </c>
      <c r="G49" s="38">
        <f t="shared" si="0"/>
        <v>0</v>
      </c>
      <c r="H49" s="38">
        <f t="shared" si="0"/>
        <v>0</v>
      </c>
      <c r="I49" s="38">
        <f t="shared" si="0"/>
        <v>0</v>
      </c>
      <c r="J49" s="38">
        <f t="shared" si="0"/>
        <v>0</v>
      </c>
      <c r="K49" s="38">
        <f t="shared" si="0"/>
        <v>0</v>
      </c>
      <c r="L49" s="38">
        <f t="shared" si="0"/>
        <v>0</v>
      </c>
      <c r="M49" s="38">
        <f t="shared" si="0"/>
        <v>0</v>
      </c>
      <c r="N49" s="38">
        <f t="shared" si="0"/>
        <v>0</v>
      </c>
      <c r="O49" s="38">
        <f t="shared" si="0"/>
        <v>0</v>
      </c>
      <c r="P49" s="38">
        <f t="shared" si="0"/>
        <v>0</v>
      </c>
      <c r="Q49" s="38">
        <f t="shared" si="0"/>
        <v>0</v>
      </c>
      <c r="R49" s="38">
        <f t="shared" si="0"/>
        <v>0</v>
      </c>
      <c r="S49" s="38">
        <f t="shared" si="0"/>
        <v>0</v>
      </c>
      <c r="T49" s="38">
        <f t="shared" si="0"/>
        <v>0</v>
      </c>
      <c r="U49" s="38">
        <f t="shared" si="0"/>
        <v>0</v>
      </c>
      <c r="V49" s="38">
        <f t="shared" si="0"/>
        <v>0</v>
      </c>
      <c r="W49" s="38">
        <f t="shared" si="0"/>
        <v>0</v>
      </c>
      <c r="X49" s="38">
        <f t="shared" si="0"/>
        <v>0</v>
      </c>
    </row>
    <row r="50" spans="2:24" x14ac:dyDescent="0.3">
      <c r="B50" s="25" t="str">
        <f>IF(Deltagere!A46&gt;0,Deltagere!A46,"")</f>
        <v/>
      </c>
    </row>
    <row r="51" spans="2:24" x14ac:dyDescent="0.3">
      <c r="B51" s="25" t="str">
        <f>IF(Deltagere!A47&gt;0,Deltagere!A47,"")</f>
        <v/>
      </c>
    </row>
    <row r="52" spans="2:24" x14ac:dyDescent="0.3">
      <c r="B52" s="25" t="str">
        <f>IF(Deltagere!A48&gt;0,Deltagere!A48,"")</f>
        <v/>
      </c>
    </row>
    <row r="53" spans="2:24" x14ac:dyDescent="0.3">
      <c r="B53" s="25" t="str">
        <f>IF(Deltagere!A49&gt;0,Deltagere!A49,"")</f>
        <v/>
      </c>
    </row>
    <row r="54" spans="2:24" x14ac:dyDescent="0.3">
      <c r="B54" s="25" t="str">
        <f>IF(Deltagere!A50&gt;0,Deltagere!A50,"")</f>
        <v/>
      </c>
    </row>
    <row r="55" spans="2:24" x14ac:dyDescent="0.3">
      <c r="B55" s="25" t="str">
        <f>IF(Deltagere!A51&gt;0,Deltagere!A51,"")</f>
        <v/>
      </c>
    </row>
    <row r="56" spans="2:24" x14ac:dyDescent="0.3">
      <c r="B56" s="25" t="str">
        <f>IF(Deltagere!A52&gt;0,Deltagere!A52,"")</f>
        <v/>
      </c>
    </row>
    <row r="57" spans="2:24" x14ac:dyDescent="0.3">
      <c r="B57" s="25" t="str">
        <f>IF(Deltagere!A53&gt;0,Deltagere!A53,"")</f>
        <v/>
      </c>
    </row>
    <row r="58" spans="2:24" x14ac:dyDescent="0.3">
      <c r="B58" s="25" t="str">
        <f>IF(Deltagere!A54&gt;0,Deltagere!A54,"")</f>
        <v/>
      </c>
    </row>
    <row r="59" spans="2:24" x14ac:dyDescent="0.3">
      <c r="B59" s="25" t="str">
        <f>IF(Deltagere!A55&gt;0,Deltagere!A55,"")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AD351"/>
  <sheetViews>
    <sheetView workbookViewId="0">
      <selection activeCell="J15" sqref="J15"/>
    </sheetView>
  </sheetViews>
  <sheetFormatPr baseColWidth="10" defaultColWidth="12.6640625" defaultRowHeight="14.4" x14ac:dyDescent="0.3"/>
  <cols>
    <col min="1" max="1" width="8.88671875" style="39" customWidth="1"/>
    <col min="2" max="2" width="18.77734375" style="39" customWidth="1"/>
    <col min="3" max="3" width="15.33203125" style="25" customWidth="1"/>
    <col min="4" max="10" width="12.6640625" style="39" customWidth="1"/>
    <col min="11" max="16384" width="12.6640625" style="39"/>
  </cols>
  <sheetData>
    <row r="2" spans="1:30" ht="18.75" customHeight="1" x14ac:dyDescent="0.35">
      <c r="B2" s="1" t="s">
        <v>27</v>
      </c>
    </row>
    <row r="4" spans="1:30" s="25" customFormat="1" x14ac:dyDescent="0.3">
      <c r="A4" s="25" t="s">
        <v>16</v>
      </c>
      <c r="B4" s="4" t="s">
        <v>17</v>
      </c>
      <c r="C4" s="4"/>
      <c r="D4" s="4" t="str">
        <f t="array" ref="D4:AB4">TRANSPOSE(Deltagere!A1:A25)</f>
        <v>Bob</v>
      </c>
      <c r="E4" s="4" t="str">
        <v>Alice</v>
      </c>
      <c r="F4" s="4" t="str">
        <v>Charlie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25">
        <v>0</v>
      </c>
      <c r="U4" s="25">
        <v>0</v>
      </c>
      <c r="V4" s="25">
        <v>0</v>
      </c>
      <c r="W4" s="25">
        <v>0</v>
      </c>
      <c r="X4" s="25">
        <v>0</v>
      </c>
      <c r="Y4" s="25">
        <v>0</v>
      </c>
      <c r="Z4" s="25">
        <v>0</v>
      </c>
      <c r="AA4" s="25">
        <v>0</v>
      </c>
      <c r="AB4" s="25">
        <v>0</v>
      </c>
    </row>
    <row r="5" spans="1:30" x14ac:dyDescent="0.3">
      <c r="A5" s="38">
        <v>1</v>
      </c>
      <c r="B5" s="50" t="s">
        <v>28</v>
      </c>
      <c r="C5" s="37" t="s">
        <v>29</v>
      </c>
      <c r="D5" s="33">
        <v>50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</row>
    <row r="6" spans="1:30" x14ac:dyDescent="0.3">
      <c r="A6" s="38"/>
      <c r="B6" s="50"/>
      <c r="C6" s="37" t="s">
        <v>30</v>
      </c>
      <c r="D6" s="33">
        <f>D5/2</f>
        <v>25</v>
      </c>
      <c r="E6" s="33">
        <f>D5/2</f>
        <v>25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</row>
    <row r="7" spans="1:30" x14ac:dyDescent="0.3">
      <c r="A7" s="38"/>
      <c r="B7" s="50"/>
      <c r="C7" s="37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</row>
    <row r="8" spans="1:30" x14ac:dyDescent="0.3">
      <c r="A8" s="38"/>
      <c r="B8" s="50"/>
      <c r="C8" s="37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</row>
    <row r="9" spans="1:30" x14ac:dyDescent="0.3">
      <c r="A9" s="38"/>
      <c r="B9" s="50"/>
      <c r="C9" s="37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</row>
    <row r="10" spans="1:30" x14ac:dyDescent="0.3">
      <c r="A10" s="38"/>
      <c r="B10" s="50"/>
      <c r="C10" s="37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</row>
    <row r="11" spans="1:30" x14ac:dyDescent="0.3">
      <c r="A11" s="38"/>
      <c r="B11" s="50"/>
      <c r="C11" s="35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</row>
    <row r="12" spans="1:30" x14ac:dyDescent="0.3">
      <c r="A12" s="38"/>
      <c r="B12" s="50"/>
      <c r="C12" s="35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</row>
    <row r="13" spans="1:30" x14ac:dyDescent="0.3">
      <c r="A13" s="38"/>
      <c r="B13" s="50"/>
      <c r="C13" s="35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</row>
    <row r="14" spans="1:30" x14ac:dyDescent="0.3">
      <c r="A14" s="38"/>
      <c r="B14" s="50"/>
      <c r="C14" s="35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</row>
    <row r="15" spans="1:30" x14ac:dyDescent="0.3">
      <c r="A15" s="38"/>
      <c r="B15" s="50"/>
      <c r="C15" s="35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</row>
    <row r="16" spans="1:30" x14ac:dyDescent="0.3">
      <c r="A16" s="38"/>
      <c r="B16" s="50"/>
      <c r="C16" s="37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</row>
    <row r="17" spans="1:30" x14ac:dyDescent="0.3">
      <c r="A17" s="38"/>
      <c r="B17" s="50"/>
      <c r="C17" s="35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</row>
    <row r="18" spans="1:30" x14ac:dyDescent="0.3">
      <c r="A18" s="38"/>
      <c r="B18" s="50"/>
      <c r="C18" s="35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</row>
    <row r="19" spans="1:30" x14ac:dyDescent="0.3">
      <c r="A19" s="38"/>
      <c r="B19" s="50"/>
      <c r="C19" s="35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</row>
    <row r="20" spans="1:30" x14ac:dyDescent="0.3">
      <c r="A20" s="38"/>
      <c r="B20" s="50"/>
      <c r="C20" s="35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</row>
    <row r="21" spans="1:30" x14ac:dyDescent="0.3">
      <c r="A21" s="38"/>
      <c r="B21" s="50"/>
      <c r="C21" s="35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</row>
    <row r="22" spans="1:30" x14ac:dyDescent="0.3">
      <c r="A22" s="38"/>
      <c r="B22" s="50"/>
      <c r="C22" s="35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</row>
    <row r="23" spans="1:30" x14ac:dyDescent="0.3">
      <c r="A23" s="38"/>
      <c r="B23" s="50"/>
      <c r="C23" s="35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</row>
    <row r="24" spans="1:30" x14ac:dyDescent="0.3">
      <c r="A24" s="38"/>
      <c r="B24" s="50"/>
      <c r="C24" s="35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</row>
    <row r="25" spans="1:30" x14ac:dyDescent="0.3">
      <c r="A25" s="38"/>
      <c r="B25" s="38"/>
      <c r="C25" s="35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</row>
    <row r="26" spans="1:30" x14ac:dyDescent="0.3">
      <c r="A26" s="38"/>
      <c r="B26" s="38"/>
      <c r="C26" s="35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</row>
    <row r="27" spans="1:30" x14ac:dyDescent="0.3">
      <c r="A27" s="38"/>
      <c r="B27" s="38"/>
      <c r="C27" s="35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</row>
    <row r="28" spans="1:30" x14ac:dyDescent="0.3">
      <c r="A28" s="38"/>
      <c r="B28" s="38"/>
      <c r="C28" s="35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</row>
    <row r="29" spans="1:30" x14ac:dyDescent="0.3">
      <c r="A29" s="38"/>
      <c r="B29" s="38"/>
      <c r="C29" s="35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</row>
    <row r="30" spans="1:30" x14ac:dyDescent="0.3">
      <c r="A30" s="38"/>
      <c r="B30" s="38"/>
      <c r="C30" s="35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</row>
    <row r="31" spans="1:30" x14ac:dyDescent="0.3">
      <c r="A31" s="38"/>
      <c r="B31" s="38"/>
      <c r="C31" s="35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</row>
    <row r="32" spans="1:30" x14ac:dyDescent="0.3">
      <c r="A32" s="38"/>
      <c r="B32" s="38"/>
      <c r="C32" s="35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</row>
    <row r="33" spans="1:30" x14ac:dyDescent="0.3">
      <c r="A33" s="38"/>
      <c r="B33" s="38"/>
      <c r="C33" s="35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</row>
    <row r="34" spans="1:30" x14ac:dyDescent="0.3">
      <c r="A34" s="38"/>
      <c r="B34" s="38"/>
      <c r="C34" s="35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</row>
    <row r="35" spans="1:30" x14ac:dyDescent="0.3">
      <c r="A35" s="38"/>
      <c r="B35" s="38"/>
      <c r="C35" s="35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</row>
    <row r="36" spans="1:30" x14ac:dyDescent="0.3">
      <c r="A36" s="38"/>
      <c r="B36" s="38"/>
      <c r="C36" s="35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</row>
    <row r="37" spans="1:30" x14ac:dyDescent="0.3">
      <c r="A37" s="38"/>
      <c r="B37" s="38"/>
      <c r="C37" s="35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</row>
    <row r="38" spans="1:30" x14ac:dyDescent="0.3">
      <c r="A38" s="38"/>
      <c r="B38" s="38"/>
      <c r="C38" s="35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</row>
    <row r="39" spans="1:30" x14ac:dyDescent="0.3">
      <c r="A39" s="38"/>
      <c r="B39" s="38"/>
      <c r="C39" s="35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</row>
    <row r="40" spans="1:30" x14ac:dyDescent="0.3">
      <c r="A40" s="38"/>
      <c r="B40" s="38"/>
      <c r="C40" s="35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</row>
    <row r="41" spans="1:30" x14ac:dyDescent="0.3">
      <c r="A41" s="38"/>
      <c r="B41" s="38"/>
      <c r="C41" s="35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</row>
    <row r="42" spans="1:30" x14ac:dyDescent="0.3">
      <c r="A42" s="38"/>
      <c r="B42" s="38"/>
      <c r="C42" s="35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</row>
    <row r="43" spans="1:30" x14ac:dyDescent="0.3">
      <c r="A43" s="38"/>
      <c r="B43" s="38"/>
      <c r="C43" s="35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</row>
    <row r="44" spans="1:30" x14ac:dyDescent="0.3">
      <c r="A44" s="38"/>
      <c r="B44" s="38"/>
      <c r="C44" s="35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</row>
    <row r="45" spans="1:30" x14ac:dyDescent="0.3">
      <c r="A45" s="38"/>
      <c r="B45" s="38"/>
      <c r="C45" s="35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</row>
    <row r="46" spans="1:30" x14ac:dyDescent="0.3">
      <c r="A46" s="38"/>
      <c r="B46" s="38"/>
      <c r="C46" s="35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</row>
    <row r="47" spans="1:30" x14ac:dyDescent="0.3">
      <c r="A47" s="38"/>
      <c r="B47" s="38"/>
      <c r="C47" s="35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</row>
    <row r="48" spans="1:30" x14ac:dyDescent="0.3">
      <c r="A48" s="38"/>
      <c r="B48" s="38"/>
      <c r="C48" s="35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</row>
    <row r="49" spans="1:30" x14ac:dyDescent="0.3">
      <c r="A49" s="38"/>
      <c r="B49" s="38"/>
      <c r="C49" s="35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1:30" x14ac:dyDescent="0.3">
      <c r="A50" s="38"/>
      <c r="B50" s="38"/>
      <c r="C50" s="35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</row>
    <row r="51" spans="1:30" x14ac:dyDescent="0.3">
      <c r="A51" s="38"/>
      <c r="B51" s="38"/>
      <c r="C51" s="35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</row>
    <row r="52" spans="1:30" x14ac:dyDescent="0.3">
      <c r="A52" s="38"/>
      <c r="B52" s="38"/>
      <c r="C52" s="35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</row>
    <row r="53" spans="1:30" x14ac:dyDescent="0.3">
      <c r="A53" s="38"/>
      <c r="B53" s="38"/>
      <c r="C53" s="35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</row>
    <row r="54" spans="1:30" x14ac:dyDescent="0.3">
      <c r="A54" s="38"/>
      <c r="B54" s="38"/>
      <c r="C54" s="35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</row>
    <row r="55" spans="1:30" x14ac:dyDescent="0.3">
      <c r="A55" s="38"/>
      <c r="B55" s="38"/>
      <c r="C55" s="35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</row>
    <row r="56" spans="1:30" x14ac:dyDescent="0.3">
      <c r="A56" s="38"/>
      <c r="B56" s="38"/>
      <c r="C56" s="35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</row>
    <row r="57" spans="1:30" x14ac:dyDescent="0.3">
      <c r="A57" s="38"/>
      <c r="B57" s="38"/>
      <c r="C57" s="35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</row>
    <row r="58" spans="1:30" x14ac:dyDescent="0.3">
      <c r="A58" s="38"/>
      <c r="B58" s="38"/>
      <c r="C58" s="35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</row>
    <row r="59" spans="1:30" x14ac:dyDescent="0.3">
      <c r="A59" s="38"/>
      <c r="B59" s="38"/>
      <c r="C59" s="35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</row>
    <row r="60" spans="1:30" x14ac:dyDescent="0.3">
      <c r="A60" s="38"/>
      <c r="B60" s="38"/>
      <c r="C60" s="35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</row>
    <row r="61" spans="1:30" x14ac:dyDescent="0.3">
      <c r="A61" s="38"/>
      <c r="B61" s="38"/>
      <c r="C61" s="35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</row>
    <row r="62" spans="1:30" x14ac:dyDescent="0.3">
      <c r="A62" s="38"/>
      <c r="B62" s="38"/>
      <c r="C62" s="35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</row>
    <row r="63" spans="1:30" x14ac:dyDescent="0.3">
      <c r="A63" s="38"/>
      <c r="B63" s="38"/>
      <c r="C63" s="35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</row>
    <row r="64" spans="1:30" x14ac:dyDescent="0.3">
      <c r="A64" s="38"/>
      <c r="B64" s="38"/>
      <c r="C64" s="35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</row>
    <row r="65" spans="1:30" x14ac:dyDescent="0.3">
      <c r="A65" s="38"/>
      <c r="B65" s="38"/>
      <c r="C65" s="35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</row>
    <row r="66" spans="1:30" x14ac:dyDescent="0.3">
      <c r="A66" s="38"/>
      <c r="B66" s="38"/>
      <c r="C66" s="35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</row>
    <row r="67" spans="1:30" x14ac:dyDescent="0.3">
      <c r="A67" s="38"/>
      <c r="B67" s="38"/>
      <c r="C67" s="35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</row>
    <row r="68" spans="1:30" x14ac:dyDescent="0.3">
      <c r="A68" s="38"/>
      <c r="B68" s="38"/>
      <c r="C68" s="35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</row>
    <row r="69" spans="1:30" x14ac:dyDescent="0.3">
      <c r="A69" s="38"/>
      <c r="B69" s="38"/>
      <c r="C69" s="35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</row>
    <row r="70" spans="1:30" x14ac:dyDescent="0.3">
      <c r="A70" s="38"/>
      <c r="B70" s="38"/>
      <c r="C70" s="35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</row>
    <row r="71" spans="1:30" x14ac:dyDescent="0.3">
      <c r="A71" s="38"/>
      <c r="B71" s="38"/>
      <c r="C71" s="35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</row>
    <row r="72" spans="1:30" x14ac:dyDescent="0.3">
      <c r="A72" s="38"/>
      <c r="B72" s="38"/>
      <c r="C72" s="35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</row>
    <row r="73" spans="1:30" x14ac:dyDescent="0.3">
      <c r="A73" s="38"/>
      <c r="B73" s="38"/>
      <c r="C73" s="35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</row>
    <row r="74" spans="1:30" x14ac:dyDescent="0.3">
      <c r="A74" s="38"/>
      <c r="B74" s="38"/>
      <c r="C74" s="35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</row>
    <row r="75" spans="1:30" x14ac:dyDescent="0.3">
      <c r="A75" s="38"/>
      <c r="B75" s="38"/>
      <c r="C75" s="35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</row>
    <row r="76" spans="1:30" x14ac:dyDescent="0.3">
      <c r="A76" s="38"/>
      <c r="B76" s="38"/>
      <c r="C76" s="35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</row>
    <row r="77" spans="1:30" x14ac:dyDescent="0.3">
      <c r="A77" s="38"/>
      <c r="B77" s="38"/>
      <c r="C77" s="35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</row>
    <row r="78" spans="1:30" x14ac:dyDescent="0.3">
      <c r="A78" s="38"/>
      <c r="B78" s="38"/>
      <c r="C78" s="35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</row>
    <row r="79" spans="1:30" x14ac:dyDescent="0.3">
      <c r="A79" s="38"/>
      <c r="B79" s="38"/>
      <c r="C79" s="35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</row>
    <row r="80" spans="1:30" x14ac:dyDescent="0.3">
      <c r="A80" s="38"/>
      <c r="B80" s="38"/>
      <c r="C80" s="35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</row>
    <row r="81" spans="1:30" x14ac:dyDescent="0.3">
      <c r="A81" s="38"/>
      <c r="B81" s="38"/>
      <c r="C81" s="35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</row>
    <row r="82" spans="1:30" x14ac:dyDescent="0.3">
      <c r="A82" s="38"/>
      <c r="B82" s="38"/>
      <c r="C82" s="35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</row>
    <row r="83" spans="1:30" x14ac:dyDescent="0.3">
      <c r="A83" s="38"/>
      <c r="B83" s="38"/>
      <c r="C83" s="35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</row>
    <row r="84" spans="1:30" x14ac:dyDescent="0.3">
      <c r="A84" s="38"/>
      <c r="B84" s="38"/>
      <c r="C84" s="35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</row>
    <row r="85" spans="1:30" x14ac:dyDescent="0.3">
      <c r="A85" s="38"/>
      <c r="B85" s="38"/>
      <c r="C85" s="35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</row>
    <row r="86" spans="1:30" x14ac:dyDescent="0.3">
      <c r="A86" s="38"/>
      <c r="B86" s="38"/>
      <c r="C86" s="35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</row>
    <row r="87" spans="1:30" x14ac:dyDescent="0.3">
      <c r="A87" s="38"/>
      <c r="B87" s="38"/>
      <c r="C87" s="35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</row>
    <row r="88" spans="1:30" x14ac:dyDescent="0.3">
      <c r="A88" s="38"/>
      <c r="B88" s="38"/>
      <c r="C88" s="35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</row>
    <row r="89" spans="1:30" x14ac:dyDescent="0.3">
      <c r="A89" s="38"/>
      <c r="B89" s="38"/>
      <c r="C89" s="35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</row>
    <row r="90" spans="1:30" x14ac:dyDescent="0.3">
      <c r="A90" s="38"/>
      <c r="B90" s="38"/>
      <c r="C90" s="35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</row>
    <row r="91" spans="1:30" x14ac:dyDescent="0.3">
      <c r="A91" s="38"/>
      <c r="B91" s="38"/>
      <c r="C91" s="35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</row>
    <row r="92" spans="1:30" x14ac:dyDescent="0.3">
      <c r="A92" s="38"/>
      <c r="B92" s="38"/>
      <c r="C92" s="35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</row>
    <row r="93" spans="1:30" x14ac:dyDescent="0.3">
      <c r="A93" s="38"/>
      <c r="B93" s="38"/>
      <c r="C93" s="35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</row>
    <row r="94" spans="1:30" x14ac:dyDescent="0.3">
      <c r="A94" s="38"/>
      <c r="B94" s="38"/>
      <c r="C94" s="35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</row>
    <row r="95" spans="1:30" x14ac:dyDescent="0.3">
      <c r="A95" s="38"/>
      <c r="B95" s="38"/>
      <c r="C95" s="35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</row>
    <row r="96" spans="1:30" x14ac:dyDescent="0.3">
      <c r="A96" s="38"/>
      <c r="B96" s="38"/>
      <c r="C96" s="35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</row>
    <row r="97" spans="1:30" x14ac:dyDescent="0.3">
      <c r="A97" s="38"/>
      <c r="B97" s="38"/>
      <c r="C97" s="35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</row>
    <row r="98" spans="1:30" x14ac:dyDescent="0.3">
      <c r="A98" s="38"/>
      <c r="B98" s="38"/>
      <c r="C98" s="35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</row>
    <row r="99" spans="1:30" x14ac:dyDescent="0.3">
      <c r="A99" s="38"/>
      <c r="B99" s="38"/>
      <c r="C99" s="35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</row>
    <row r="100" spans="1:30" x14ac:dyDescent="0.3">
      <c r="A100" s="38"/>
      <c r="B100" s="38"/>
      <c r="C100" s="35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</row>
    <row r="101" spans="1:30" x14ac:dyDescent="0.3">
      <c r="A101" s="38"/>
      <c r="B101" s="38"/>
      <c r="C101" s="35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</row>
    <row r="102" spans="1:30" x14ac:dyDescent="0.3">
      <c r="A102" s="38"/>
      <c r="B102" s="38"/>
      <c r="C102" s="35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</row>
    <row r="103" spans="1:30" x14ac:dyDescent="0.3">
      <c r="A103" s="38"/>
      <c r="B103" s="38"/>
      <c r="C103" s="35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</row>
    <row r="104" spans="1:30" x14ac:dyDescent="0.3">
      <c r="A104" s="38"/>
      <c r="B104" s="38"/>
      <c r="C104" s="35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</row>
    <row r="105" spans="1:30" x14ac:dyDescent="0.3">
      <c r="A105" s="38"/>
      <c r="B105" s="38"/>
      <c r="C105" s="35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</row>
    <row r="106" spans="1:30" x14ac:dyDescent="0.3">
      <c r="A106" s="38"/>
      <c r="B106" s="38"/>
      <c r="C106" s="35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</row>
    <row r="107" spans="1:30" x14ac:dyDescent="0.3">
      <c r="A107" s="38"/>
      <c r="B107" s="38"/>
      <c r="C107" s="35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</row>
    <row r="108" spans="1:30" x14ac:dyDescent="0.3">
      <c r="A108" s="38"/>
      <c r="B108" s="38"/>
      <c r="C108" s="35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</row>
    <row r="109" spans="1:30" x14ac:dyDescent="0.3">
      <c r="A109" s="38"/>
      <c r="B109" s="38"/>
      <c r="C109" s="35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</row>
    <row r="110" spans="1:30" x14ac:dyDescent="0.3">
      <c r="A110" s="38"/>
      <c r="B110" s="38"/>
      <c r="C110" s="35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</row>
    <row r="111" spans="1:30" x14ac:dyDescent="0.3">
      <c r="A111" s="38"/>
      <c r="B111" s="38"/>
      <c r="C111" s="35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</row>
    <row r="112" spans="1:30" x14ac:dyDescent="0.3">
      <c r="A112" s="38"/>
      <c r="B112" s="38"/>
      <c r="C112" s="35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</row>
    <row r="113" spans="1:30" x14ac:dyDescent="0.3">
      <c r="A113" s="38"/>
      <c r="B113" s="38"/>
      <c r="C113" s="35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</row>
    <row r="114" spans="1:30" x14ac:dyDescent="0.3">
      <c r="A114" s="38"/>
      <c r="B114" s="38"/>
      <c r="C114" s="35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</row>
    <row r="115" spans="1:30" x14ac:dyDescent="0.3">
      <c r="A115" s="38"/>
      <c r="B115" s="38"/>
      <c r="C115" s="35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</row>
    <row r="116" spans="1:30" x14ac:dyDescent="0.3">
      <c r="A116" s="38"/>
      <c r="B116" s="38"/>
      <c r="C116" s="35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</row>
    <row r="117" spans="1:30" x14ac:dyDescent="0.3">
      <c r="A117" s="38"/>
      <c r="B117" s="38"/>
      <c r="C117" s="35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</row>
    <row r="118" spans="1:30" x14ac:dyDescent="0.3">
      <c r="A118" s="38"/>
      <c r="B118" s="38"/>
      <c r="C118" s="35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</row>
    <row r="119" spans="1:30" x14ac:dyDescent="0.3">
      <c r="A119" s="38"/>
      <c r="B119" s="38"/>
      <c r="C119" s="35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</row>
    <row r="120" spans="1:30" x14ac:dyDescent="0.3">
      <c r="A120" s="38"/>
      <c r="B120" s="38"/>
      <c r="C120" s="35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</row>
    <row r="121" spans="1:30" x14ac:dyDescent="0.3">
      <c r="A121" s="38"/>
      <c r="B121" s="38"/>
      <c r="C121" s="35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</row>
    <row r="122" spans="1:30" x14ac:dyDescent="0.3">
      <c r="A122" s="38"/>
      <c r="B122" s="38"/>
      <c r="C122" s="35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</row>
    <row r="123" spans="1:30" x14ac:dyDescent="0.3">
      <c r="A123" s="38"/>
      <c r="B123" s="38"/>
      <c r="C123" s="35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</row>
    <row r="124" spans="1:30" x14ac:dyDescent="0.3">
      <c r="A124" s="38"/>
      <c r="B124" s="38"/>
      <c r="C124" s="35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</row>
    <row r="125" spans="1:30" x14ac:dyDescent="0.3">
      <c r="A125" s="38"/>
      <c r="B125" s="38"/>
      <c r="C125" s="35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</row>
    <row r="126" spans="1:30" x14ac:dyDescent="0.3">
      <c r="A126" s="38"/>
      <c r="B126" s="38"/>
      <c r="C126" s="35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</row>
    <row r="127" spans="1:30" x14ac:dyDescent="0.3">
      <c r="A127" s="38"/>
      <c r="B127" s="38"/>
      <c r="C127" s="35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</row>
    <row r="128" spans="1:30" x14ac:dyDescent="0.3">
      <c r="A128" s="38"/>
      <c r="B128" s="38"/>
      <c r="C128" s="35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</row>
    <row r="129" spans="1:30" x14ac:dyDescent="0.3">
      <c r="A129" s="38"/>
      <c r="B129" s="38"/>
      <c r="C129" s="35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</row>
    <row r="130" spans="1:30" x14ac:dyDescent="0.3">
      <c r="A130" s="38"/>
      <c r="B130" s="38"/>
      <c r="C130" s="35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</row>
    <row r="131" spans="1:30" x14ac:dyDescent="0.3">
      <c r="A131" s="38"/>
      <c r="B131" s="38"/>
      <c r="C131" s="35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</row>
    <row r="132" spans="1:30" x14ac:dyDescent="0.3">
      <c r="A132" s="38"/>
      <c r="B132" s="38"/>
      <c r="C132" s="35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</row>
    <row r="133" spans="1:30" x14ac:dyDescent="0.3">
      <c r="A133" s="38"/>
      <c r="B133" s="38"/>
      <c r="C133" s="35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</row>
    <row r="134" spans="1:30" x14ac:dyDescent="0.3">
      <c r="A134" s="38"/>
      <c r="B134" s="38"/>
      <c r="C134" s="35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</row>
    <row r="135" spans="1:30" x14ac:dyDescent="0.3">
      <c r="A135" s="38"/>
      <c r="B135" s="38"/>
      <c r="C135" s="35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</row>
    <row r="136" spans="1:30" x14ac:dyDescent="0.3">
      <c r="A136" s="38"/>
      <c r="B136" s="38"/>
      <c r="C136" s="35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</row>
    <row r="137" spans="1:30" x14ac:dyDescent="0.3">
      <c r="A137" s="38"/>
      <c r="B137" s="38"/>
      <c r="C137" s="35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</row>
    <row r="138" spans="1:30" x14ac:dyDescent="0.3">
      <c r="A138" s="38"/>
      <c r="B138" s="38"/>
      <c r="C138" s="35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</row>
    <row r="139" spans="1:30" x14ac:dyDescent="0.3">
      <c r="A139" s="38"/>
      <c r="B139" s="38"/>
      <c r="C139" s="35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</row>
    <row r="140" spans="1:30" x14ac:dyDescent="0.3">
      <c r="A140" s="38"/>
      <c r="B140" s="38"/>
      <c r="C140" s="35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</row>
    <row r="141" spans="1:30" x14ac:dyDescent="0.3">
      <c r="A141" s="38"/>
      <c r="B141" s="38"/>
      <c r="C141" s="35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</row>
    <row r="142" spans="1:30" x14ac:dyDescent="0.3">
      <c r="A142" s="38"/>
      <c r="B142" s="38"/>
      <c r="C142" s="35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</row>
    <row r="143" spans="1:30" x14ac:dyDescent="0.3">
      <c r="A143" s="38"/>
      <c r="B143" s="38"/>
      <c r="C143" s="35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</row>
    <row r="144" spans="1:30" x14ac:dyDescent="0.3">
      <c r="A144" s="38"/>
      <c r="B144" s="38"/>
      <c r="C144" s="35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</row>
    <row r="145" spans="1:30" x14ac:dyDescent="0.3">
      <c r="A145" s="38"/>
      <c r="B145" s="38"/>
      <c r="C145" s="35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</row>
    <row r="146" spans="1:30" x14ac:dyDescent="0.3">
      <c r="A146" s="38"/>
      <c r="B146" s="38"/>
      <c r="C146" s="35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</row>
    <row r="147" spans="1:30" x14ac:dyDescent="0.3">
      <c r="A147" s="38"/>
      <c r="B147" s="38"/>
      <c r="C147" s="35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</row>
    <row r="148" spans="1:30" x14ac:dyDescent="0.3">
      <c r="A148" s="38"/>
      <c r="B148" s="38"/>
      <c r="C148" s="35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</row>
    <row r="149" spans="1:30" x14ac:dyDescent="0.3">
      <c r="A149" s="38"/>
      <c r="B149" s="38"/>
      <c r="C149" s="35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</row>
    <row r="150" spans="1:30" x14ac:dyDescent="0.3">
      <c r="A150" s="38"/>
      <c r="B150" s="38"/>
      <c r="C150" s="35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</row>
    <row r="151" spans="1:30" x14ac:dyDescent="0.3">
      <c r="A151" s="38"/>
      <c r="B151" s="38"/>
      <c r="C151" s="35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</row>
    <row r="152" spans="1:30" x14ac:dyDescent="0.3">
      <c r="A152" s="38"/>
      <c r="B152" s="38"/>
      <c r="C152" s="35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</row>
    <row r="153" spans="1:30" x14ac:dyDescent="0.3">
      <c r="A153" s="38"/>
      <c r="B153" s="38"/>
      <c r="C153" s="35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</row>
    <row r="154" spans="1:30" x14ac:dyDescent="0.3">
      <c r="A154" s="38"/>
      <c r="B154" s="38"/>
      <c r="C154" s="35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</row>
    <row r="155" spans="1:30" x14ac:dyDescent="0.3">
      <c r="A155" s="38"/>
      <c r="B155" s="38"/>
      <c r="C155" s="35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</row>
    <row r="156" spans="1:30" x14ac:dyDescent="0.3">
      <c r="A156" s="38"/>
      <c r="B156" s="38"/>
      <c r="C156" s="35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</row>
    <row r="157" spans="1:30" x14ac:dyDescent="0.3">
      <c r="A157" s="38"/>
      <c r="B157" s="38"/>
      <c r="C157" s="35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</row>
    <row r="158" spans="1:30" x14ac:dyDescent="0.3">
      <c r="A158" s="38"/>
      <c r="B158" s="38"/>
      <c r="C158" s="35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</row>
    <row r="159" spans="1:30" x14ac:dyDescent="0.3">
      <c r="A159" s="38"/>
      <c r="B159" s="38"/>
      <c r="C159" s="35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</row>
    <row r="160" spans="1:30" x14ac:dyDescent="0.3">
      <c r="A160" s="38"/>
      <c r="B160" s="38"/>
      <c r="C160" s="35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</row>
    <row r="161" spans="1:30" x14ac:dyDescent="0.3">
      <c r="A161" s="38"/>
      <c r="B161" s="38"/>
      <c r="C161" s="35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</row>
    <row r="162" spans="1:30" x14ac:dyDescent="0.3">
      <c r="A162" s="38"/>
      <c r="B162" s="38"/>
      <c r="C162" s="35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</row>
    <row r="163" spans="1:30" x14ac:dyDescent="0.3">
      <c r="A163" s="38"/>
      <c r="B163" s="38"/>
      <c r="C163" s="35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</row>
    <row r="164" spans="1:30" x14ac:dyDescent="0.3">
      <c r="A164" s="38"/>
      <c r="B164" s="38"/>
      <c r="C164" s="35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</row>
    <row r="165" spans="1:30" x14ac:dyDescent="0.3">
      <c r="A165" s="38"/>
      <c r="B165" s="38"/>
      <c r="C165" s="35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</row>
    <row r="166" spans="1:30" x14ac:dyDescent="0.3">
      <c r="A166" s="38"/>
      <c r="B166" s="38"/>
      <c r="C166" s="35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</row>
    <row r="167" spans="1:30" x14ac:dyDescent="0.3">
      <c r="A167" s="38"/>
      <c r="B167" s="38"/>
      <c r="C167" s="35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</row>
    <row r="168" spans="1:30" x14ac:dyDescent="0.3">
      <c r="A168" s="38"/>
      <c r="B168" s="38"/>
      <c r="C168" s="35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</row>
    <row r="169" spans="1:30" x14ac:dyDescent="0.3">
      <c r="A169" s="38"/>
      <c r="B169" s="38"/>
      <c r="C169" s="35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</row>
    <row r="170" spans="1:30" x14ac:dyDescent="0.3">
      <c r="A170" s="38"/>
      <c r="B170" s="38"/>
      <c r="C170" s="35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</row>
    <row r="171" spans="1:30" x14ac:dyDescent="0.3">
      <c r="A171" s="38"/>
      <c r="B171" s="38"/>
      <c r="C171" s="35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</row>
    <row r="172" spans="1:30" x14ac:dyDescent="0.3">
      <c r="A172" s="38"/>
      <c r="B172" s="38"/>
      <c r="C172" s="35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</row>
    <row r="173" spans="1:30" x14ac:dyDescent="0.3">
      <c r="A173" s="38"/>
      <c r="B173" s="38"/>
      <c r="C173" s="35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</row>
    <row r="174" spans="1:30" x14ac:dyDescent="0.3">
      <c r="A174" s="38"/>
      <c r="B174" s="38"/>
      <c r="C174" s="35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</row>
    <row r="175" spans="1:30" x14ac:dyDescent="0.3">
      <c r="A175" s="38"/>
      <c r="B175" s="38"/>
      <c r="C175" s="35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</row>
    <row r="176" spans="1:30" x14ac:dyDescent="0.3"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</row>
    <row r="177" spans="4:30" x14ac:dyDescent="0.3"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</row>
    <row r="178" spans="4:30" x14ac:dyDescent="0.3"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</row>
    <row r="179" spans="4:30" x14ac:dyDescent="0.3"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</row>
    <row r="180" spans="4:30" x14ac:dyDescent="0.3"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</row>
    <row r="181" spans="4:30" x14ac:dyDescent="0.3"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</row>
    <row r="182" spans="4:30" x14ac:dyDescent="0.3"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</row>
    <row r="183" spans="4:30" x14ac:dyDescent="0.3"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</row>
    <row r="184" spans="4:30" x14ac:dyDescent="0.3"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</row>
    <row r="185" spans="4:30" x14ac:dyDescent="0.3"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</row>
    <row r="186" spans="4:30" x14ac:dyDescent="0.3"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</row>
    <row r="187" spans="4:30" x14ac:dyDescent="0.3"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</row>
    <row r="188" spans="4:30" x14ac:dyDescent="0.3"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</row>
    <row r="189" spans="4:30" x14ac:dyDescent="0.3"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</row>
    <row r="190" spans="4:30" x14ac:dyDescent="0.3"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</row>
    <row r="191" spans="4:30" x14ac:dyDescent="0.3"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</row>
    <row r="192" spans="4:30" x14ac:dyDescent="0.3"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</row>
    <row r="193" spans="4:30" x14ac:dyDescent="0.3"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</row>
    <row r="194" spans="4:30" x14ac:dyDescent="0.3"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</row>
    <row r="195" spans="4:30" x14ac:dyDescent="0.3"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</row>
    <row r="196" spans="4:30" x14ac:dyDescent="0.3"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</row>
    <row r="197" spans="4:30" x14ac:dyDescent="0.3"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</row>
    <row r="198" spans="4:30" x14ac:dyDescent="0.3"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</row>
    <row r="199" spans="4:30" x14ac:dyDescent="0.3"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</row>
    <row r="200" spans="4:30" x14ac:dyDescent="0.3"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</row>
    <row r="201" spans="4:30" x14ac:dyDescent="0.3"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</row>
    <row r="202" spans="4:30" x14ac:dyDescent="0.3"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</row>
    <row r="203" spans="4:30" x14ac:dyDescent="0.3"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</row>
    <row r="204" spans="4:30" x14ac:dyDescent="0.3"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</row>
    <row r="205" spans="4:30" x14ac:dyDescent="0.3"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</row>
    <row r="206" spans="4:30" x14ac:dyDescent="0.3"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</row>
    <row r="207" spans="4:30" x14ac:dyDescent="0.3"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</row>
    <row r="208" spans="4:30" x14ac:dyDescent="0.3"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</row>
    <row r="209" spans="4:30" x14ac:dyDescent="0.3"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</row>
    <row r="210" spans="4:30" x14ac:dyDescent="0.3"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</row>
    <row r="211" spans="4:30" x14ac:dyDescent="0.3"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</row>
    <row r="212" spans="4:30" x14ac:dyDescent="0.3"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</row>
    <row r="213" spans="4:30" x14ac:dyDescent="0.3"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</row>
    <row r="214" spans="4:30" x14ac:dyDescent="0.3"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</row>
    <row r="215" spans="4:30" x14ac:dyDescent="0.3"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</row>
    <row r="216" spans="4:30" x14ac:dyDescent="0.3"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</row>
    <row r="217" spans="4:30" x14ac:dyDescent="0.3"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</row>
    <row r="218" spans="4:30" x14ac:dyDescent="0.3"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</row>
    <row r="219" spans="4:30" x14ac:dyDescent="0.3"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</row>
    <row r="220" spans="4:30" x14ac:dyDescent="0.3"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</row>
    <row r="221" spans="4:30" x14ac:dyDescent="0.3"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</row>
    <row r="222" spans="4:30" x14ac:dyDescent="0.3"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</row>
    <row r="223" spans="4:30" x14ac:dyDescent="0.3"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</row>
    <row r="224" spans="4:30" x14ac:dyDescent="0.3"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</row>
    <row r="225" spans="4:30" x14ac:dyDescent="0.3"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</row>
    <row r="226" spans="4:30" x14ac:dyDescent="0.3"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</row>
    <row r="227" spans="4:30" x14ac:dyDescent="0.3"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</row>
    <row r="228" spans="4:30" x14ac:dyDescent="0.3"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</row>
    <row r="229" spans="4:30" x14ac:dyDescent="0.3"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</row>
    <row r="230" spans="4:30" x14ac:dyDescent="0.3"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</row>
    <row r="231" spans="4:30" x14ac:dyDescent="0.3"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</row>
    <row r="232" spans="4:30" x14ac:dyDescent="0.3"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</row>
    <row r="233" spans="4:30" x14ac:dyDescent="0.3"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</row>
    <row r="234" spans="4:30" x14ac:dyDescent="0.3"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</row>
    <row r="235" spans="4:30" x14ac:dyDescent="0.3"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</row>
    <row r="236" spans="4:30" x14ac:dyDescent="0.3"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</row>
    <row r="237" spans="4:30" x14ac:dyDescent="0.3"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</row>
    <row r="238" spans="4:30" x14ac:dyDescent="0.3"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</row>
    <row r="239" spans="4:30" x14ac:dyDescent="0.3"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</row>
    <row r="240" spans="4:30" x14ac:dyDescent="0.3"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</row>
    <row r="241" spans="4:30" x14ac:dyDescent="0.3"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</row>
    <row r="242" spans="4:30" x14ac:dyDescent="0.3"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</row>
    <row r="243" spans="4:30" x14ac:dyDescent="0.3"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</row>
    <row r="244" spans="4:30" x14ac:dyDescent="0.3"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</row>
    <row r="245" spans="4:30" x14ac:dyDescent="0.3"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</row>
    <row r="246" spans="4:30" x14ac:dyDescent="0.3"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</row>
    <row r="247" spans="4:30" x14ac:dyDescent="0.3"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</row>
    <row r="248" spans="4:30" x14ac:dyDescent="0.3"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</row>
    <row r="249" spans="4:30" x14ac:dyDescent="0.3"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</row>
    <row r="250" spans="4:30" x14ac:dyDescent="0.3"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</row>
    <row r="251" spans="4:30" x14ac:dyDescent="0.3"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</row>
    <row r="252" spans="4:30" x14ac:dyDescent="0.3"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</row>
    <row r="253" spans="4:30" x14ac:dyDescent="0.3"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</row>
    <row r="254" spans="4:30" x14ac:dyDescent="0.3"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</row>
    <row r="255" spans="4:30" x14ac:dyDescent="0.3"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</row>
    <row r="256" spans="4:30" x14ac:dyDescent="0.3"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</row>
    <row r="257" spans="4:30" x14ac:dyDescent="0.3"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</row>
    <row r="258" spans="4:30" x14ac:dyDescent="0.3"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</row>
    <row r="259" spans="4:30" x14ac:dyDescent="0.3"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</row>
    <row r="260" spans="4:30" x14ac:dyDescent="0.3"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</row>
    <row r="261" spans="4:30" x14ac:dyDescent="0.3"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</row>
    <row r="262" spans="4:30" x14ac:dyDescent="0.3"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</row>
    <row r="263" spans="4:30" x14ac:dyDescent="0.3"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</row>
    <row r="264" spans="4:30" x14ac:dyDescent="0.3"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</row>
    <row r="265" spans="4:30" x14ac:dyDescent="0.3"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</row>
    <row r="266" spans="4:30" x14ac:dyDescent="0.3"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</row>
    <row r="267" spans="4:30" x14ac:dyDescent="0.3"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</row>
    <row r="268" spans="4:30" x14ac:dyDescent="0.3"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</row>
    <row r="269" spans="4:30" x14ac:dyDescent="0.3"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</row>
    <row r="270" spans="4:30" x14ac:dyDescent="0.3"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</row>
    <row r="271" spans="4:30" x14ac:dyDescent="0.3"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</row>
    <row r="272" spans="4:30" x14ac:dyDescent="0.3"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</row>
    <row r="273" spans="4:30" x14ac:dyDescent="0.3"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</row>
    <row r="274" spans="4:30" x14ac:dyDescent="0.3"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</row>
    <row r="275" spans="4:30" x14ac:dyDescent="0.3"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</row>
    <row r="276" spans="4:30" x14ac:dyDescent="0.3"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</row>
    <row r="277" spans="4:30" x14ac:dyDescent="0.3"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</row>
    <row r="278" spans="4:30" x14ac:dyDescent="0.3"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</row>
    <row r="279" spans="4:30" x14ac:dyDescent="0.3"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</row>
    <row r="280" spans="4:30" x14ac:dyDescent="0.3"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</row>
    <row r="281" spans="4:30" x14ac:dyDescent="0.3"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</row>
    <row r="282" spans="4:30" x14ac:dyDescent="0.3"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</row>
    <row r="283" spans="4:30" x14ac:dyDescent="0.3"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</row>
    <row r="284" spans="4:30" x14ac:dyDescent="0.3"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</row>
    <row r="285" spans="4:30" x14ac:dyDescent="0.3"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</row>
    <row r="286" spans="4:30" x14ac:dyDescent="0.3"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</row>
    <row r="287" spans="4:30" x14ac:dyDescent="0.3"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</row>
    <row r="288" spans="4:30" x14ac:dyDescent="0.3"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</row>
    <row r="289" spans="4:30" x14ac:dyDescent="0.3"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</row>
    <row r="290" spans="4:30" x14ac:dyDescent="0.3"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</row>
    <row r="291" spans="4:30" x14ac:dyDescent="0.3"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</row>
    <row r="292" spans="4:30" x14ac:dyDescent="0.3"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</row>
    <row r="293" spans="4:30" x14ac:dyDescent="0.3"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</row>
    <row r="294" spans="4:30" x14ac:dyDescent="0.3"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</row>
    <row r="295" spans="4:30" x14ac:dyDescent="0.3"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</row>
    <row r="296" spans="4:30" x14ac:dyDescent="0.3"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</row>
    <row r="297" spans="4:30" x14ac:dyDescent="0.3"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</row>
    <row r="298" spans="4:30" x14ac:dyDescent="0.3"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</row>
    <row r="299" spans="4:30" x14ac:dyDescent="0.3"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</row>
    <row r="300" spans="4:30" x14ac:dyDescent="0.3"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</row>
    <row r="301" spans="4:30" x14ac:dyDescent="0.3"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</row>
    <row r="302" spans="4:30" x14ac:dyDescent="0.3"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</row>
    <row r="303" spans="4:30" x14ac:dyDescent="0.3"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</row>
    <row r="304" spans="4:30" x14ac:dyDescent="0.3"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</row>
    <row r="305" spans="4:30" x14ac:dyDescent="0.3"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</row>
    <row r="306" spans="4:30" x14ac:dyDescent="0.3"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</row>
    <row r="307" spans="4:30" x14ac:dyDescent="0.3"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</row>
    <row r="308" spans="4:30" x14ac:dyDescent="0.3"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</row>
    <row r="309" spans="4:30" x14ac:dyDescent="0.3"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</row>
    <row r="310" spans="4:30" x14ac:dyDescent="0.3"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</row>
    <row r="311" spans="4:30" x14ac:dyDescent="0.3"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</row>
    <row r="312" spans="4:30" x14ac:dyDescent="0.3"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</row>
    <row r="313" spans="4:30" x14ac:dyDescent="0.3"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</row>
    <row r="314" spans="4:30" x14ac:dyDescent="0.3"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</row>
    <row r="315" spans="4:30" x14ac:dyDescent="0.3"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</row>
    <row r="316" spans="4:30" x14ac:dyDescent="0.3"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</row>
    <row r="317" spans="4:30" x14ac:dyDescent="0.3"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</row>
    <row r="318" spans="4:30" x14ac:dyDescent="0.3"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</row>
    <row r="319" spans="4:30" x14ac:dyDescent="0.3"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</row>
    <row r="320" spans="4:30" x14ac:dyDescent="0.3"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</row>
    <row r="321" spans="4:30" x14ac:dyDescent="0.3"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</row>
    <row r="322" spans="4:30" x14ac:dyDescent="0.3"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</row>
    <row r="323" spans="4:30" x14ac:dyDescent="0.3"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</row>
    <row r="324" spans="4:30" x14ac:dyDescent="0.3"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</row>
    <row r="325" spans="4:30" x14ac:dyDescent="0.3"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</row>
    <row r="326" spans="4:30" x14ac:dyDescent="0.3"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</row>
    <row r="327" spans="4:30" x14ac:dyDescent="0.3"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</row>
    <row r="328" spans="4:30" x14ac:dyDescent="0.3"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</row>
    <row r="329" spans="4:30" x14ac:dyDescent="0.3"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</row>
    <row r="330" spans="4:30" x14ac:dyDescent="0.3"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</row>
    <row r="331" spans="4:30" x14ac:dyDescent="0.3"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</row>
    <row r="332" spans="4:30" x14ac:dyDescent="0.3"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</row>
    <row r="333" spans="4:30" x14ac:dyDescent="0.3"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</row>
    <row r="334" spans="4:30" x14ac:dyDescent="0.3"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</row>
    <row r="335" spans="4:30" x14ac:dyDescent="0.3"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</row>
    <row r="336" spans="4:30" x14ac:dyDescent="0.3"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</row>
    <row r="337" spans="4:30" x14ac:dyDescent="0.3"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</row>
    <row r="338" spans="4:30" x14ac:dyDescent="0.3"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</row>
    <row r="339" spans="4:30" x14ac:dyDescent="0.3"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</row>
    <row r="340" spans="4:30" x14ac:dyDescent="0.3"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</row>
    <row r="341" spans="4:30" x14ac:dyDescent="0.3"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</row>
    <row r="342" spans="4:30" x14ac:dyDescent="0.3"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</row>
    <row r="343" spans="4:30" x14ac:dyDescent="0.3"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</row>
    <row r="344" spans="4:30" x14ac:dyDescent="0.3"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</row>
    <row r="345" spans="4:30" x14ac:dyDescent="0.3"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</row>
    <row r="346" spans="4:30" x14ac:dyDescent="0.3"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</row>
    <row r="347" spans="4:30" x14ac:dyDescent="0.3"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</row>
    <row r="348" spans="4:30" x14ac:dyDescent="0.3"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</row>
    <row r="349" spans="4:30" x14ac:dyDescent="0.3"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</row>
    <row r="350" spans="4:30" x14ac:dyDescent="0.3"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</row>
    <row r="351" spans="4:30" x14ac:dyDescent="0.3"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Sammendrag</vt:lpstr>
      <vt:lpstr>Deltagere</vt:lpstr>
      <vt:lpstr>Betalingsstruktur</vt:lpstr>
      <vt:lpstr>Fellesutgifter</vt:lpstr>
      <vt:lpstr>Fordelingsnøkler</vt:lpstr>
      <vt:lpstr>P2P-utgifter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Gulla</dc:creator>
  <cp:lastModifiedBy>Odd Cappelen</cp:lastModifiedBy>
  <dcterms:created xsi:type="dcterms:W3CDTF">2018-07-05T22:10:27Z</dcterms:created>
  <dcterms:modified xsi:type="dcterms:W3CDTF">2020-08-12T18:18:51Z</dcterms:modified>
</cp:coreProperties>
</file>